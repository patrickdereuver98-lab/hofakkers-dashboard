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/>
  <xr:revisionPtr revIDLastSave="0" documentId="8_{5381ED7C-C56F-D04A-B6B7-AE167F49BEE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Dashboard PRO" sheetId="1" r:id="rId1"/>
    <sheet name="Maandbegroting" sheetId="2" r:id="rId2"/>
    <sheet name="Spaargeld + verbouwing" sheetId="3" r:id="rId3"/>
    <sheet name="Verbouwing begroting" sheetId="4" r:id="rId4"/>
    <sheet name="Inboedel begroting" sheetId="5" r:id="rId5"/>
    <sheet name="Sparen &amp; Beleggen" sheetId="6" r:id="rId6"/>
    <sheet name="Hypotheek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F361" i="7"/>
  <c r="E361" i="7"/>
  <c r="B2" i="7"/>
  <c r="F2" i="7"/>
  <c r="C2" i="7"/>
  <c r="D2" i="7"/>
  <c r="B3" i="7"/>
  <c r="F3" i="7"/>
  <c r="C3" i="7"/>
  <c r="D3" i="7"/>
  <c r="B4" i="7"/>
  <c r="F4" i="7"/>
  <c r="C4" i="7"/>
  <c r="D4" i="7"/>
  <c r="B5" i="7"/>
  <c r="F5" i="7"/>
  <c r="C5" i="7"/>
  <c r="D5" i="7"/>
  <c r="B6" i="7"/>
  <c r="F6" i="7"/>
  <c r="C6" i="7"/>
  <c r="D6" i="7"/>
  <c r="B7" i="7"/>
  <c r="F7" i="7"/>
  <c r="C7" i="7"/>
  <c r="D7" i="7"/>
  <c r="B8" i="7"/>
  <c r="F8" i="7"/>
  <c r="C8" i="7"/>
  <c r="D8" i="7"/>
  <c r="B9" i="7"/>
  <c r="F9" i="7"/>
  <c r="C9" i="7"/>
  <c r="D9" i="7"/>
  <c r="B10" i="7"/>
  <c r="F10" i="7"/>
  <c r="C10" i="7"/>
  <c r="D10" i="7"/>
  <c r="B11" i="7"/>
  <c r="F11" i="7"/>
  <c r="C11" i="7"/>
  <c r="D11" i="7"/>
  <c r="B12" i="7"/>
  <c r="F12" i="7"/>
  <c r="C12" i="7"/>
  <c r="D12" i="7"/>
  <c r="B13" i="7"/>
  <c r="F13" i="7"/>
  <c r="C13" i="7"/>
  <c r="D13" i="7"/>
  <c r="B14" i="7"/>
  <c r="F14" i="7"/>
  <c r="C14" i="7"/>
  <c r="D14" i="7"/>
  <c r="B15" i="7"/>
  <c r="F15" i="7"/>
  <c r="C15" i="7"/>
  <c r="D15" i="7"/>
  <c r="B16" i="7"/>
  <c r="F16" i="7"/>
  <c r="C16" i="7"/>
  <c r="D16" i="7"/>
  <c r="B17" i="7"/>
  <c r="F17" i="7"/>
  <c r="C17" i="7"/>
  <c r="D17" i="7"/>
  <c r="B18" i="7"/>
  <c r="F18" i="7"/>
  <c r="C18" i="7"/>
  <c r="D18" i="7"/>
  <c r="B19" i="7"/>
  <c r="F19" i="7"/>
  <c r="C19" i="7"/>
  <c r="D19" i="7"/>
  <c r="B20" i="7"/>
  <c r="F20" i="7"/>
  <c r="C20" i="7"/>
  <c r="D20" i="7"/>
  <c r="B21" i="7"/>
  <c r="F21" i="7"/>
  <c r="C21" i="7"/>
  <c r="D21" i="7"/>
  <c r="B22" i="7"/>
  <c r="F22" i="7"/>
  <c r="C22" i="7"/>
  <c r="D22" i="7"/>
  <c r="B23" i="7"/>
  <c r="F23" i="7"/>
  <c r="C23" i="7"/>
  <c r="D23" i="7"/>
  <c r="B24" i="7"/>
  <c r="F24" i="7"/>
  <c r="C24" i="7"/>
  <c r="D24" i="7"/>
  <c r="B25" i="7"/>
  <c r="F25" i="7"/>
  <c r="C25" i="7"/>
  <c r="D25" i="7"/>
  <c r="B26" i="7"/>
  <c r="F26" i="7"/>
  <c r="C26" i="7"/>
  <c r="D26" i="7"/>
  <c r="B27" i="7"/>
  <c r="F27" i="7"/>
  <c r="C27" i="7"/>
  <c r="D27" i="7"/>
  <c r="B28" i="7"/>
  <c r="F28" i="7"/>
  <c r="C28" i="7"/>
  <c r="D28" i="7"/>
  <c r="B29" i="7"/>
  <c r="F29" i="7"/>
  <c r="C29" i="7"/>
  <c r="D29" i="7"/>
  <c r="B30" i="7"/>
  <c r="F30" i="7"/>
  <c r="C30" i="7"/>
  <c r="D30" i="7"/>
  <c r="B31" i="7"/>
  <c r="F31" i="7"/>
  <c r="C31" i="7"/>
  <c r="D31" i="7"/>
  <c r="B32" i="7"/>
  <c r="F32" i="7"/>
  <c r="C32" i="7"/>
  <c r="D32" i="7"/>
  <c r="B33" i="7"/>
  <c r="F33" i="7"/>
  <c r="C33" i="7"/>
  <c r="D33" i="7"/>
  <c r="B34" i="7"/>
  <c r="F34" i="7"/>
  <c r="C34" i="7"/>
  <c r="D34" i="7"/>
  <c r="B35" i="7"/>
  <c r="F35" i="7"/>
  <c r="C35" i="7"/>
  <c r="D35" i="7"/>
  <c r="B36" i="7"/>
  <c r="F36" i="7"/>
  <c r="C36" i="7"/>
  <c r="D36" i="7"/>
  <c r="B37" i="7"/>
  <c r="F37" i="7"/>
  <c r="C37" i="7"/>
  <c r="D37" i="7"/>
  <c r="B38" i="7"/>
  <c r="F38" i="7"/>
  <c r="C38" i="7"/>
  <c r="D38" i="7"/>
  <c r="B39" i="7"/>
  <c r="F39" i="7"/>
  <c r="C39" i="7"/>
  <c r="D39" i="7"/>
  <c r="B40" i="7"/>
  <c r="F40" i="7"/>
  <c r="C40" i="7"/>
  <c r="D40" i="7"/>
  <c r="B41" i="7"/>
  <c r="F41" i="7"/>
  <c r="C41" i="7"/>
  <c r="D41" i="7"/>
  <c r="B42" i="7"/>
  <c r="F42" i="7"/>
  <c r="C42" i="7"/>
  <c r="D42" i="7"/>
  <c r="B43" i="7"/>
  <c r="F43" i="7"/>
  <c r="C43" i="7"/>
  <c r="D43" i="7"/>
  <c r="B44" i="7"/>
  <c r="F44" i="7"/>
  <c r="C44" i="7"/>
  <c r="D44" i="7"/>
  <c r="B45" i="7"/>
  <c r="F45" i="7"/>
  <c r="C45" i="7"/>
  <c r="D45" i="7"/>
  <c r="B46" i="7"/>
  <c r="F46" i="7"/>
  <c r="C46" i="7"/>
  <c r="D46" i="7"/>
  <c r="B47" i="7"/>
  <c r="F47" i="7"/>
  <c r="C47" i="7"/>
  <c r="D47" i="7"/>
  <c r="B48" i="7"/>
  <c r="F48" i="7"/>
  <c r="C48" i="7"/>
  <c r="D48" i="7"/>
  <c r="B49" i="7"/>
  <c r="F49" i="7"/>
  <c r="C49" i="7"/>
  <c r="D49" i="7"/>
  <c r="B50" i="7"/>
  <c r="F50" i="7"/>
  <c r="C50" i="7"/>
  <c r="D50" i="7"/>
  <c r="B51" i="7"/>
  <c r="F51" i="7"/>
  <c r="C51" i="7"/>
  <c r="D51" i="7"/>
  <c r="B52" i="7"/>
  <c r="F52" i="7"/>
  <c r="C52" i="7"/>
  <c r="D52" i="7"/>
  <c r="B53" i="7"/>
  <c r="F53" i="7"/>
  <c r="C53" i="7"/>
  <c r="D53" i="7"/>
  <c r="B54" i="7"/>
  <c r="F54" i="7"/>
  <c r="C54" i="7"/>
  <c r="D54" i="7"/>
  <c r="B55" i="7"/>
  <c r="F55" i="7"/>
  <c r="C55" i="7"/>
  <c r="D55" i="7"/>
  <c r="B56" i="7"/>
  <c r="F56" i="7"/>
  <c r="C56" i="7"/>
  <c r="D56" i="7"/>
  <c r="B57" i="7"/>
  <c r="F57" i="7"/>
  <c r="C57" i="7"/>
  <c r="D57" i="7"/>
  <c r="B58" i="7"/>
  <c r="F58" i="7"/>
  <c r="C58" i="7"/>
  <c r="D58" i="7"/>
  <c r="B59" i="7"/>
  <c r="F59" i="7"/>
  <c r="C59" i="7"/>
  <c r="D59" i="7"/>
  <c r="B60" i="7"/>
  <c r="F60" i="7"/>
  <c r="C60" i="7"/>
  <c r="D60" i="7"/>
  <c r="B61" i="7"/>
  <c r="F61" i="7"/>
  <c r="C61" i="7"/>
  <c r="D61" i="7"/>
  <c r="B62" i="7"/>
  <c r="F62" i="7"/>
  <c r="C62" i="7"/>
  <c r="D62" i="7"/>
  <c r="B63" i="7"/>
  <c r="F63" i="7"/>
  <c r="C63" i="7"/>
  <c r="D63" i="7"/>
  <c r="B64" i="7"/>
  <c r="F64" i="7"/>
  <c r="C64" i="7"/>
  <c r="D64" i="7"/>
  <c r="B65" i="7"/>
  <c r="F65" i="7"/>
  <c r="C65" i="7"/>
  <c r="D65" i="7"/>
  <c r="B66" i="7"/>
  <c r="F66" i="7"/>
  <c r="C66" i="7"/>
  <c r="D66" i="7"/>
  <c r="B67" i="7"/>
  <c r="F67" i="7"/>
  <c r="C67" i="7"/>
  <c r="D67" i="7"/>
  <c r="B68" i="7"/>
  <c r="F68" i="7"/>
  <c r="C68" i="7"/>
  <c r="D68" i="7"/>
  <c r="B69" i="7"/>
  <c r="F69" i="7"/>
  <c r="C69" i="7"/>
  <c r="D69" i="7"/>
  <c r="B70" i="7"/>
  <c r="F70" i="7"/>
  <c r="C70" i="7"/>
  <c r="D70" i="7"/>
  <c r="B71" i="7"/>
  <c r="F71" i="7"/>
  <c r="C71" i="7"/>
  <c r="D71" i="7"/>
  <c r="B72" i="7"/>
  <c r="F72" i="7"/>
  <c r="C72" i="7"/>
  <c r="D72" i="7"/>
  <c r="B73" i="7"/>
  <c r="F73" i="7"/>
  <c r="C73" i="7"/>
  <c r="D73" i="7"/>
  <c r="B74" i="7"/>
  <c r="F74" i="7"/>
  <c r="C74" i="7"/>
  <c r="D74" i="7"/>
  <c r="B75" i="7"/>
  <c r="F75" i="7"/>
  <c r="C75" i="7"/>
  <c r="D75" i="7"/>
  <c r="B76" i="7"/>
  <c r="F76" i="7"/>
  <c r="C76" i="7"/>
  <c r="D76" i="7"/>
  <c r="B77" i="7"/>
  <c r="F77" i="7"/>
  <c r="C77" i="7"/>
  <c r="D77" i="7"/>
  <c r="B78" i="7"/>
  <c r="F78" i="7"/>
  <c r="C78" i="7"/>
  <c r="D78" i="7"/>
  <c r="B79" i="7"/>
  <c r="F79" i="7"/>
  <c r="C79" i="7"/>
  <c r="D79" i="7"/>
  <c r="B80" i="7"/>
  <c r="F80" i="7"/>
  <c r="C80" i="7"/>
  <c r="D80" i="7"/>
  <c r="B81" i="7"/>
  <c r="F81" i="7"/>
  <c r="C81" i="7"/>
  <c r="D81" i="7"/>
  <c r="B82" i="7"/>
  <c r="F82" i="7"/>
  <c r="C82" i="7"/>
  <c r="D82" i="7"/>
  <c r="B83" i="7"/>
  <c r="F83" i="7"/>
  <c r="C83" i="7"/>
  <c r="D83" i="7"/>
  <c r="B84" i="7"/>
  <c r="F84" i="7"/>
  <c r="C84" i="7"/>
  <c r="D84" i="7"/>
  <c r="B85" i="7"/>
  <c r="F85" i="7"/>
  <c r="C85" i="7"/>
  <c r="D85" i="7"/>
  <c r="B86" i="7"/>
  <c r="F86" i="7"/>
  <c r="C86" i="7"/>
  <c r="D86" i="7"/>
  <c r="B87" i="7"/>
  <c r="F87" i="7"/>
  <c r="C87" i="7"/>
  <c r="D87" i="7"/>
  <c r="B88" i="7"/>
  <c r="F88" i="7"/>
  <c r="C88" i="7"/>
  <c r="D88" i="7"/>
  <c r="B89" i="7"/>
  <c r="F89" i="7"/>
  <c r="C89" i="7"/>
  <c r="D89" i="7"/>
  <c r="B90" i="7"/>
  <c r="F90" i="7"/>
  <c r="C90" i="7"/>
  <c r="D90" i="7"/>
  <c r="B91" i="7"/>
  <c r="F91" i="7"/>
  <c r="C91" i="7"/>
  <c r="D91" i="7"/>
  <c r="B92" i="7"/>
  <c r="F92" i="7"/>
  <c r="C92" i="7"/>
  <c r="D92" i="7"/>
  <c r="B93" i="7"/>
  <c r="F93" i="7"/>
  <c r="C93" i="7"/>
  <c r="D93" i="7"/>
  <c r="B94" i="7"/>
  <c r="F94" i="7"/>
  <c r="C94" i="7"/>
  <c r="D94" i="7"/>
  <c r="B95" i="7"/>
  <c r="F95" i="7"/>
  <c r="C95" i="7"/>
  <c r="D95" i="7"/>
  <c r="B96" i="7"/>
  <c r="F96" i="7"/>
  <c r="C96" i="7"/>
  <c r="D96" i="7"/>
  <c r="B97" i="7"/>
  <c r="F97" i="7"/>
  <c r="C97" i="7"/>
  <c r="D97" i="7"/>
  <c r="B98" i="7"/>
  <c r="F98" i="7"/>
  <c r="C98" i="7"/>
  <c r="D98" i="7"/>
  <c r="B99" i="7"/>
  <c r="F99" i="7"/>
  <c r="C99" i="7"/>
  <c r="D99" i="7"/>
  <c r="B100" i="7"/>
  <c r="F100" i="7"/>
  <c r="C100" i="7"/>
  <c r="D100" i="7"/>
  <c r="B101" i="7"/>
  <c r="F101" i="7"/>
  <c r="C101" i="7"/>
  <c r="D101" i="7"/>
  <c r="B102" i="7"/>
  <c r="F102" i="7"/>
  <c r="C102" i="7"/>
  <c r="D102" i="7"/>
  <c r="B103" i="7"/>
  <c r="F103" i="7"/>
  <c r="C103" i="7"/>
  <c r="D103" i="7"/>
  <c r="B104" i="7"/>
  <c r="F104" i="7"/>
  <c r="C104" i="7"/>
  <c r="D104" i="7"/>
  <c r="B105" i="7"/>
  <c r="F105" i="7"/>
  <c r="C105" i="7"/>
  <c r="D105" i="7"/>
  <c r="B106" i="7"/>
  <c r="F106" i="7"/>
  <c r="C106" i="7"/>
  <c r="D106" i="7"/>
  <c r="B107" i="7"/>
  <c r="F107" i="7"/>
  <c r="C107" i="7"/>
  <c r="D107" i="7"/>
  <c r="B108" i="7"/>
  <c r="F108" i="7"/>
  <c r="C108" i="7"/>
  <c r="D108" i="7"/>
  <c r="B109" i="7"/>
  <c r="F109" i="7"/>
  <c r="C109" i="7"/>
  <c r="D109" i="7"/>
  <c r="B110" i="7"/>
  <c r="F110" i="7"/>
  <c r="C110" i="7"/>
  <c r="D110" i="7"/>
  <c r="B111" i="7"/>
  <c r="F111" i="7"/>
  <c r="C111" i="7"/>
  <c r="D111" i="7"/>
  <c r="B112" i="7"/>
  <c r="F112" i="7"/>
  <c r="C112" i="7"/>
  <c r="D112" i="7"/>
  <c r="B113" i="7"/>
  <c r="F113" i="7"/>
  <c r="C113" i="7"/>
  <c r="D113" i="7"/>
  <c r="B114" i="7"/>
  <c r="F114" i="7"/>
  <c r="C114" i="7"/>
  <c r="D114" i="7"/>
  <c r="B115" i="7"/>
  <c r="F115" i="7"/>
  <c r="C115" i="7"/>
  <c r="D115" i="7"/>
  <c r="B116" i="7"/>
  <c r="F116" i="7"/>
  <c r="C116" i="7"/>
  <c r="D116" i="7"/>
  <c r="B117" i="7"/>
  <c r="F117" i="7"/>
  <c r="C117" i="7"/>
  <c r="D117" i="7"/>
  <c r="B118" i="7"/>
  <c r="F118" i="7"/>
  <c r="C118" i="7"/>
  <c r="D118" i="7"/>
  <c r="B119" i="7"/>
  <c r="F119" i="7"/>
  <c r="C119" i="7"/>
  <c r="D119" i="7"/>
  <c r="B120" i="7"/>
  <c r="F120" i="7"/>
  <c r="C120" i="7"/>
  <c r="D120" i="7"/>
  <c r="B121" i="7"/>
  <c r="F121" i="7"/>
  <c r="C121" i="7"/>
  <c r="D121" i="7"/>
  <c r="B122" i="7"/>
  <c r="F122" i="7"/>
  <c r="C122" i="7"/>
  <c r="D122" i="7"/>
  <c r="B123" i="7"/>
  <c r="F123" i="7"/>
  <c r="C123" i="7"/>
  <c r="D123" i="7"/>
  <c r="B124" i="7"/>
  <c r="F124" i="7"/>
  <c r="C124" i="7"/>
  <c r="D124" i="7"/>
  <c r="B125" i="7"/>
  <c r="F125" i="7"/>
  <c r="C125" i="7"/>
  <c r="D125" i="7"/>
  <c r="B126" i="7"/>
  <c r="F126" i="7"/>
  <c r="C126" i="7"/>
  <c r="D126" i="7"/>
  <c r="B127" i="7"/>
  <c r="F127" i="7"/>
  <c r="C127" i="7"/>
  <c r="D127" i="7"/>
  <c r="B128" i="7"/>
  <c r="F128" i="7"/>
  <c r="C128" i="7"/>
  <c r="D128" i="7"/>
  <c r="B129" i="7"/>
  <c r="F129" i="7"/>
  <c r="C129" i="7"/>
  <c r="D129" i="7"/>
  <c r="B130" i="7"/>
  <c r="F130" i="7"/>
  <c r="C130" i="7"/>
  <c r="D130" i="7"/>
  <c r="B131" i="7"/>
  <c r="F131" i="7"/>
  <c r="C131" i="7"/>
  <c r="D131" i="7"/>
  <c r="B132" i="7"/>
  <c r="F132" i="7"/>
  <c r="C132" i="7"/>
  <c r="D132" i="7"/>
  <c r="B133" i="7"/>
  <c r="F133" i="7"/>
  <c r="C133" i="7"/>
  <c r="D133" i="7"/>
  <c r="B134" i="7"/>
  <c r="F134" i="7"/>
  <c r="C134" i="7"/>
  <c r="D134" i="7"/>
  <c r="B135" i="7"/>
  <c r="F135" i="7"/>
  <c r="C135" i="7"/>
  <c r="D135" i="7"/>
  <c r="B136" i="7"/>
  <c r="F136" i="7"/>
  <c r="C136" i="7"/>
  <c r="D136" i="7"/>
  <c r="B137" i="7"/>
  <c r="F137" i="7"/>
  <c r="C137" i="7"/>
  <c r="D137" i="7"/>
  <c r="B138" i="7"/>
  <c r="F138" i="7"/>
  <c r="C138" i="7"/>
  <c r="D138" i="7"/>
  <c r="B139" i="7"/>
  <c r="F139" i="7"/>
  <c r="C139" i="7"/>
  <c r="D139" i="7"/>
  <c r="B140" i="7"/>
  <c r="F140" i="7"/>
  <c r="C140" i="7"/>
  <c r="D140" i="7"/>
  <c r="B141" i="7"/>
  <c r="F141" i="7"/>
  <c r="C141" i="7"/>
  <c r="D141" i="7"/>
  <c r="B142" i="7"/>
  <c r="F142" i="7"/>
  <c r="C142" i="7"/>
  <c r="D142" i="7"/>
  <c r="B143" i="7"/>
  <c r="F143" i="7"/>
  <c r="C143" i="7"/>
  <c r="D143" i="7"/>
  <c r="B144" i="7"/>
  <c r="F144" i="7"/>
  <c r="C144" i="7"/>
  <c r="D144" i="7"/>
  <c r="B145" i="7"/>
  <c r="F145" i="7"/>
  <c r="C145" i="7"/>
  <c r="D145" i="7"/>
  <c r="B146" i="7"/>
  <c r="F146" i="7"/>
  <c r="C146" i="7"/>
  <c r="D146" i="7"/>
  <c r="B147" i="7"/>
  <c r="F147" i="7"/>
  <c r="C147" i="7"/>
  <c r="D147" i="7"/>
  <c r="B148" i="7"/>
  <c r="F148" i="7"/>
  <c r="C148" i="7"/>
  <c r="D148" i="7"/>
  <c r="B149" i="7"/>
  <c r="F149" i="7"/>
  <c r="C149" i="7"/>
  <c r="D149" i="7"/>
  <c r="B150" i="7"/>
  <c r="F150" i="7"/>
  <c r="C150" i="7"/>
  <c r="D150" i="7"/>
  <c r="B151" i="7"/>
  <c r="F151" i="7"/>
  <c r="C151" i="7"/>
  <c r="D151" i="7"/>
  <c r="B152" i="7"/>
  <c r="F152" i="7"/>
  <c r="C152" i="7"/>
  <c r="D152" i="7"/>
  <c r="B153" i="7"/>
  <c r="F153" i="7"/>
  <c r="C153" i="7"/>
  <c r="D153" i="7"/>
  <c r="B154" i="7"/>
  <c r="F154" i="7"/>
  <c r="C154" i="7"/>
  <c r="D154" i="7"/>
  <c r="B155" i="7"/>
  <c r="F155" i="7"/>
  <c r="C155" i="7"/>
  <c r="D155" i="7"/>
  <c r="B156" i="7"/>
  <c r="F156" i="7"/>
  <c r="C156" i="7"/>
  <c r="D156" i="7"/>
  <c r="B157" i="7"/>
  <c r="F157" i="7"/>
  <c r="C157" i="7"/>
  <c r="D157" i="7"/>
  <c r="B158" i="7"/>
  <c r="F158" i="7"/>
  <c r="C158" i="7"/>
  <c r="D158" i="7"/>
  <c r="B159" i="7"/>
  <c r="F159" i="7"/>
  <c r="C159" i="7"/>
  <c r="D159" i="7"/>
  <c r="B160" i="7"/>
  <c r="F160" i="7"/>
  <c r="C160" i="7"/>
  <c r="D160" i="7"/>
  <c r="B161" i="7"/>
  <c r="F161" i="7"/>
  <c r="C161" i="7"/>
  <c r="D161" i="7"/>
  <c r="B162" i="7"/>
  <c r="F162" i="7"/>
  <c r="C162" i="7"/>
  <c r="D162" i="7"/>
  <c r="B163" i="7"/>
  <c r="F163" i="7"/>
  <c r="C163" i="7"/>
  <c r="D163" i="7"/>
  <c r="B164" i="7"/>
  <c r="F164" i="7"/>
  <c r="C164" i="7"/>
  <c r="D164" i="7"/>
  <c r="B165" i="7"/>
  <c r="F165" i="7"/>
  <c r="C165" i="7"/>
  <c r="D165" i="7"/>
  <c r="B166" i="7"/>
  <c r="F166" i="7"/>
  <c r="C166" i="7"/>
  <c r="D166" i="7"/>
  <c r="B167" i="7"/>
  <c r="F167" i="7"/>
  <c r="C167" i="7"/>
  <c r="D167" i="7"/>
  <c r="B168" i="7"/>
  <c r="F168" i="7"/>
  <c r="C168" i="7"/>
  <c r="D168" i="7"/>
  <c r="B169" i="7"/>
  <c r="F169" i="7"/>
  <c r="C169" i="7"/>
  <c r="D169" i="7"/>
  <c r="B170" i="7"/>
  <c r="F170" i="7"/>
  <c r="C170" i="7"/>
  <c r="D170" i="7"/>
  <c r="B171" i="7"/>
  <c r="F171" i="7"/>
  <c r="C171" i="7"/>
  <c r="D171" i="7"/>
  <c r="B172" i="7"/>
  <c r="F172" i="7"/>
  <c r="C172" i="7"/>
  <c r="D172" i="7"/>
  <c r="B173" i="7"/>
  <c r="F173" i="7"/>
  <c r="C173" i="7"/>
  <c r="D173" i="7"/>
  <c r="B174" i="7"/>
  <c r="F174" i="7"/>
  <c r="C174" i="7"/>
  <c r="D174" i="7"/>
  <c r="B175" i="7"/>
  <c r="F175" i="7"/>
  <c r="C175" i="7"/>
  <c r="D175" i="7"/>
  <c r="B176" i="7"/>
  <c r="F176" i="7"/>
  <c r="C176" i="7"/>
  <c r="D176" i="7"/>
  <c r="B177" i="7"/>
  <c r="F177" i="7"/>
  <c r="C177" i="7"/>
  <c r="D177" i="7"/>
  <c r="B178" i="7"/>
  <c r="F178" i="7"/>
  <c r="C178" i="7"/>
  <c r="D178" i="7"/>
  <c r="B179" i="7"/>
  <c r="F179" i="7"/>
  <c r="C179" i="7"/>
  <c r="D179" i="7"/>
  <c r="B180" i="7"/>
  <c r="F180" i="7"/>
  <c r="C180" i="7"/>
  <c r="D180" i="7"/>
  <c r="B181" i="7"/>
  <c r="F181" i="7"/>
  <c r="C181" i="7"/>
  <c r="D181" i="7"/>
  <c r="B182" i="7"/>
  <c r="F182" i="7"/>
  <c r="C182" i="7"/>
  <c r="D182" i="7"/>
  <c r="B183" i="7"/>
  <c r="F183" i="7"/>
  <c r="C183" i="7"/>
  <c r="D183" i="7"/>
  <c r="B184" i="7"/>
  <c r="F184" i="7"/>
  <c r="C184" i="7"/>
  <c r="D184" i="7"/>
  <c r="B185" i="7"/>
  <c r="F185" i="7"/>
  <c r="C185" i="7"/>
  <c r="D185" i="7"/>
  <c r="B186" i="7"/>
  <c r="F186" i="7"/>
  <c r="C186" i="7"/>
  <c r="D186" i="7"/>
  <c r="B187" i="7"/>
  <c r="F187" i="7"/>
  <c r="C187" i="7"/>
  <c r="D187" i="7"/>
  <c r="B188" i="7"/>
  <c r="F188" i="7"/>
  <c r="C188" i="7"/>
  <c r="D188" i="7"/>
  <c r="B189" i="7"/>
  <c r="F189" i="7"/>
  <c r="C189" i="7"/>
  <c r="D189" i="7"/>
  <c r="B190" i="7"/>
  <c r="F190" i="7"/>
  <c r="C190" i="7"/>
  <c r="D190" i="7"/>
  <c r="B191" i="7"/>
  <c r="F191" i="7"/>
  <c r="C191" i="7"/>
  <c r="D191" i="7"/>
  <c r="B192" i="7"/>
  <c r="F192" i="7"/>
  <c r="C192" i="7"/>
  <c r="D192" i="7"/>
  <c r="B193" i="7"/>
  <c r="F193" i="7"/>
  <c r="C193" i="7"/>
  <c r="D193" i="7"/>
  <c r="B194" i="7"/>
  <c r="F194" i="7"/>
  <c r="C194" i="7"/>
  <c r="D194" i="7"/>
  <c r="B195" i="7"/>
  <c r="F195" i="7"/>
  <c r="C195" i="7"/>
  <c r="D195" i="7"/>
  <c r="B196" i="7"/>
  <c r="F196" i="7"/>
  <c r="C196" i="7"/>
  <c r="D196" i="7"/>
  <c r="B197" i="7"/>
  <c r="F197" i="7"/>
  <c r="C197" i="7"/>
  <c r="D197" i="7"/>
  <c r="B198" i="7"/>
  <c r="F198" i="7"/>
  <c r="C198" i="7"/>
  <c r="D198" i="7"/>
  <c r="B199" i="7"/>
  <c r="F199" i="7"/>
  <c r="C199" i="7"/>
  <c r="D199" i="7"/>
  <c r="B200" i="7"/>
  <c r="F200" i="7"/>
  <c r="C200" i="7"/>
  <c r="D200" i="7"/>
  <c r="B201" i="7"/>
  <c r="F201" i="7"/>
  <c r="C201" i="7"/>
  <c r="D201" i="7"/>
  <c r="B202" i="7"/>
  <c r="F202" i="7"/>
  <c r="C202" i="7"/>
  <c r="D202" i="7"/>
  <c r="B203" i="7"/>
  <c r="F203" i="7"/>
  <c r="C203" i="7"/>
  <c r="D203" i="7"/>
  <c r="B204" i="7"/>
  <c r="F204" i="7"/>
  <c r="C204" i="7"/>
  <c r="D204" i="7"/>
  <c r="B205" i="7"/>
  <c r="F205" i="7"/>
  <c r="C205" i="7"/>
  <c r="D205" i="7"/>
  <c r="B206" i="7"/>
  <c r="F206" i="7"/>
  <c r="C206" i="7"/>
  <c r="D206" i="7"/>
  <c r="B207" i="7"/>
  <c r="F207" i="7"/>
  <c r="C207" i="7"/>
  <c r="D207" i="7"/>
  <c r="B208" i="7"/>
  <c r="F208" i="7"/>
  <c r="C208" i="7"/>
  <c r="D208" i="7"/>
  <c r="B209" i="7"/>
  <c r="F209" i="7"/>
  <c r="C209" i="7"/>
  <c r="D209" i="7"/>
  <c r="B210" i="7"/>
  <c r="F210" i="7"/>
  <c r="C210" i="7"/>
  <c r="D210" i="7"/>
  <c r="B211" i="7"/>
  <c r="F211" i="7"/>
  <c r="C211" i="7"/>
  <c r="D211" i="7"/>
  <c r="B212" i="7"/>
  <c r="F212" i="7"/>
  <c r="C212" i="7"/>
  <c r="D212" i="7"/>
  <c r="B213" i="7"/>
  <c r="F213" i="7"/>
  <c r="C213" i="7"/>
  <c r="D213" i="7"/>
  <c r="B214" i="7"/>
  <c r="F214" i="7"/>
  <c r="C214" i="7"/>
  <c r="D214" i="7"/>
  <c r="B215" i="7"/>
  <c r="F215" i="7"/>
  <c r="C215" i="7"/>
  <c r="D215" i="7"/>
  <c r="B216" i="7"/>
  <c r="F216" i="7"/>
  <c r="C216" i="7"/>
  <c r="D216" i="7"/>
  <c r="B217" i="7"/>
  <c r="F217" i="7"/>
  <c r="C217" i="7"/>
  <c r="D217" i="7"/>
  <c r="B218" i="7"/>
  <c r="F218" i="7"/>
  <c r="C218" i="7"/>
  <c r="D218" i="7"/>
  <c r="B219" i="7"/>
  <c r="F219" i="7"/>
  <c r="C219" i="7"/>
  <c r="D219" i="7"/>
  <c r="B220" i="7"/>
  <c r="F220" i="7"/>
  <c r="C220" i="7"/>
  <c r="D220" i="7"/>
  <c r="B221" i="7"/>
  <c r="F221" i="7"/>
  <c r="C221" i="7"/>
  <c r="D221" i="7"/>
  <c r="B222" i="7"/>
  <c r="F222" i="7"/>
  <c r="C222" i="7"/>
  <c r="D222" i="7"/>
  <c r="B223" i="7"/>
  <c r="F223" i="7"/>
  <c r="C223" i="7"/>
  <c r="D223" i="7"/>
  <c r="B224" i="7"/>
  <c r="F224" i="7"/>
  <c r="C224" i="7"/>
  <c r="D224" i="7"/>
  <c r="B225" i="7"/>
  <c r="F225" i="7"/>
  <c r="C225" i="7"/>
  <c r="D225" i="7"/>
  <c r="B226" i="7"/>
  <c r="F226" i="7"/>
  <c r="C226" i="7"/>
  <c r="D226" i="7"/>
  <c r="B227" i="7"/>
  <c r="F227" i="7"/>
  <c r="C227" i="7"/>
  <c r="D227" i="7"/>
  <c r="B228" i="7"/>
  <c r="F228" i="7"/>
  <c r="C228" i="7"/>
  <c r="D228" i="7"/>
  <c r="B229" i="7"/>
  <c r="F229" i="7"/>
  <c r="C229" i="7"/>
  <c r="D229" i="7"/>
  <c r="B230" i="7"/>
  <c r="F230" i="7"/>
  <c r="C230" i="7"/>
  <c r="D230" i="7"/>
  <c r="B231" i="7"/>
  <c r="F231" i="7"/>
  <c r="C231" i="7"/>
  <c r="D231" i="7"/>
  <c r="B232" i="7"/>
  <c r="F232" i="7"/>
  <c r="C232" i="7"/>
  <c r="D232" i="7"/>
  <c r="B233" i="7"/>
  <c r="F233" i="7"/>
  <c r="C233" i="7"/>
  <c r="D233" i="7"/>
  <c r="B234" i="7"/>
  <c r="F234" i="7"/>
  <c r="C234" i="7"/>
  <c r="D234" i="7"/>
  <c r="B235" i="7"/>
  <c r="F235" i="7"/>
  <c r="C235" i="7"/>
  <c r="D235" i="7"/>
  <c r="B236" i="7"/>
  <c r="F236" i="7"/>
  <c r="C236" i="7"/>
  <c r="D236" i="7"/>
  <c r="B237" i="7"/>
  <c r="F237" i="7"/>
  <c r="C237" i="7"/>
  <c r="D237" i="7"/>
  <c r="B238" i="7"/>
  <c r="F238" i="7"/>
  <c r="C238" i="7"/>
  <c r="D238" i="7"/>
  <c r="B239" i="7"/>
  <c r="F239" i="7"/>
  <c r="C239" i="7"/>
  <c r="D239" i="7"/>
  <c r="B240" i="7"/>
  <c r="F240" i="7"/>
  <c r="C240" i="7"/>
  <c r="D240" i="7"/>
  <c r="B241" i="7"/>
  <c r="F241" i="7"/>
  <c r="C241" i="7"/>
  <c r="D241" i="7"/>
  <c r="B242" i="7"/>
  <c r="F242" i="7"/>
  <c r="C242" i="7"/>
  <c r="D242" i="7"/>
  <c r="B243" i="7"/>
  <c r="F243" i="7"/>
  <c r="C243" i="7"/>
  <c r="D243" i="7"/>
  <c r="B244" i="7"/>
  <c r="F244" i="7"/>
  <c r="C244" i="7"/>
  <c r="D244" i="7"/>
  <c r="B245" i="7"/>
  <c r="F245" i="7"/>
  <c r="C245" i="7"/>
  <c r="D245" i="7"/>
  <c r="B246" i="7"/>
  <c r="F246" i="7"/>
  <c r="C246" i="7"/>
  <c r="D246" i="7"/>
  <c r="B247" i="7"/>
  <c r="F247" i="7"/>
  <c r="C247" i="7"/>
  <c r="D247" i="7"/>
  <c r="B248" i="7"/>
  <c r="F248" i="7"/>
  <c r="C248" i="7"/>
  <c r="D248" i="7"/>
  <c r="B249" i="7"/>
  <c r="F249" i="7"/>
  <c r="C249" i="7"/>
  <c r="D249" i="7"/>
  <c r="B250" i="7"/>
  <c r="F250" i="7"/>
  <c r="C250" i="7"/>
  <c r="D250" i="7"/>
  <c r="B251" i="7"/>
  <c r="F251" i="7"/>
  <c r="C251" i="7"/>
  <c r="D251" i="7"/>
  <c r="B252" i="7"/>
  <c r="F252" i="7"/>
  <c r="C252" i="7"/>
  <c r="D252" i="7"/>
  <c r="B253" i="7"/>
  <c r="F253" i="7"/>
  <c r="C253" i="7"/>
  <c r="D253" i="7"/>
  <c r="B254" i="7"/>
  <c r="F254" i="7"/>
  <c r="C254" i="7"/>
  <c r="D254" i="7"/>
  <c r="B255" i="7"/>
  <c r="F255" i="7"/>
  <c r="C255" i="7"/>
  <c r="D255" i="7"/>
  <c r="B256" i="7"/>
  <c r="F256" i="7"/>
  <c r="C256" i="7"/>
  <c r="D256" i="7"/>
  <c r="B257" i="7"/>
  <c r="F257" i="7"/>
  <c r="C257" i="7"/>
  <c r="D257" i="7"/>
  <c r="B258" i="7"/>
  <c r="F258" i="7"/>
  <c r="C258" i="7"/>
  <c r="D258" i="7"/>
  <c r="B259" i="7"/>
  <c r="F259" i="7"/>
  <c r="C259" i="7"/>
  <c r="D259" i="7"/>
  <c r="B260" i="7"/>
  <c r="F260" i="7"/>
  <c r="C260" i="7"/>
  <c r="D260" i="7"/>
  <c r="B261" i="7"/>
  <c r="F261" i="7"/>
  <c r="C261" i="7"/>
  <c r="D261" i="7"/>
  <c r="B262" i="7"/>
  <c r="F262" i="7"/>
  <c r="C262" i="7"/>
  <c r="D262" i="7"/>
  <c r="B263" i="7"/>
  <c r="F263" i="7"/>
  <c r="C263" i="7"/>
  <c r="D263" i="7"/>
  <c r="B264" i="7"/>
  <c r="F264" i="7"/>
  <c r="C264" i="7"/>
  <c r="D264" i="7"/>
  <c r="B265" i="7"/>
  <c r="F265" i="7"/>
  <c r="C265" i="7"/>
  <c r="D265" i="7"/>
  <c r="B266" i="7"/>
  <c r="F266" i="7"/>
  <c r="C266" i="7"/>
  <c r="D266" i="7"/>
  <c r="B267" i="7"/>
  <c r="F267" i="7"/>
  <c r="C267" i="7"/>
  <c r="D267" i="7"/>
  <c r="B268" i="7"/>
  <c r="F268" i="7"/>
  <c r="C268" i="7"/>
  <c r="D268" i="7"/>
  <c r="B269" i="7"/>
  <c r="F269" i="7"/>
  <c r="C269" i="7"/>
  <c r="D269" i="7"/>
  <c r="B270" i="7"/>
  <c r="F270" i="7"/>
  <c r="C270" i="7"/>
  <c r="D270" i="7"/>
  <c r="B271" i="7"/>
  <c r="F271" i="7"/>
  <c r="C271" i="7"/>
  <c r="D271" i="7"/>
  <c r="B272" i="7"/>
  <c r="F272" i="7"/>
  <c r="C272" i="7"/>
  <c r="D272" i="7"/>
  <c r="B273" i="7"/>
  <c r="F273" i="7"/>
  <c r="C273" i="7"/>
  <c r="D273" i="7"/>
  <c r="B274" i="7"/>
  <c r="F274" i="7"/>
  <c r="C274" i="7"/>
  <c r="D274" i="7"/>
  <c r="B275" i="7"/>
  <c r="F275" i="7"/>
  <c r="C275" i="7"/>
  <c r="D275" i="7"/>
  <c r="B276" i="7"/>
  <c r="F276" i="7"/>
  <c r="C276" i="7"/>
  <c r="D276" i="7"/>
  <c r="B277" i="7"/>
  <c r="F277" i="7"/>
  <c r="C277" i="7"/>
  <c r="D277" i="7"/>
  <c r="B278" i="7"/>
  <c r="F278" i="7"/>
  <c r="C278" i="7"/>
  <c r="D278" i="7"/>
  <c r="B279" i="7"/>
  <c r="F279" i="7"/>
  <c r="C279" i="7"/>
  <c r="D279" i="7"/>
  <c r="B280" i="7"/>
  <c r="F280" i="7"/>
  <c r="C280" i="7"/>
  <c r="D280" i="7"/>
  <c r="B281" i="7"/>
  <c r="F281" i="7"/>
  <c r="C281" i="7"/>
  <c r="D281" i="7"/>
  <c r="B282" i="7"/>
  <c r="F282" i="7"/>
  <c r="C282" i="7"/>
  <c r="D282" i="7"/>
  <c r="B283" i="7"/>
  <c r="F283" i="7"/>
  <c r="C283" i="7"/>
  <c r="D283" i="7"/>
  <c r="B284" i="7"/>
  <c r="F284" i="7"/>
  <c r="C284" i="7"/>
  <c r="D284" i="7"/>
  <c r="B285" i="7"/>
  <c r="F285" i="7"/>
  <c r="C285" i="7"/>
  <c r="D285" i="7"/>
  <c r="B286" i="7"/>
  <c r="F286" i="7"/>
  <c r="C286" i="7"/>
  <c r="D286" i="7"/>
  <c r="B287" i="7"/>
  <c r="F287" i="7"/>
  <c r="C287" i="7"/>
  <c r="D287" i="7"/>
  <c r="B288" i="7"/>
  <c r="F288" i="7"/>
  <c r="C288" i="7"/>
  <c r="D288" i="7"/>
  <c r="B289" i="7"/>
  <c r="F289" i="7"/>
  <c r="C289" i="7"/>
  <c r="D289" i="7"/>
  <c r="B290" i="7"/>
  <c r="F290" i="7"/>
  <c r="C290" i="7"/>
  <c r="D290" i="7"/>
  <c r="B291" i="7"/>
  <c r="F291" i="7"/>
  <c r="C291" i="7"/>
  <c r="D291" i="7"/>
  <c r="B292" i="7"/>
  <c r="F292" i="7"/>
  <c r="C292" i="7"/>
  <c r="D292" i="7"/>
  <c r="B293" i="7"/>
  <c r="F293" i="7"/>
  <c r="C293" i="7"/>
  <c r="D293" i="7"/>
  <c r="B294" i="7"/>
  <c r="F294" i="7"/>
  <c r="C294" i="7"/>
  <c r="D294" i="7"/>
  <c r="B295" i="7"/>
  <c r="F295" i="7"/>
  <c r="C295" i="7"/>
  <c r="D295" i="7"/>
  <c r="B296" i="7"/>
  <c r="F296" i="7"/>
  <c r="C296" i="7"/>
  <c r="D296" i="7"/>
  <c r="B297" i="7"/>
  <c r="F297" i="7"/>
  <c r="C297" i="7"/>
  <c r="D297" i="7"/>
  <c r="B298" i="7"/>
  <c r="F298" i="7"/>
  <c r="C298" i="7"/>
  <c r="D298" i="7"/>
  <c r="B299" i="7"/>
  <c r="F299" i="7"/>
  <c r="C299" i="7"/>
  <c r="D299" i="7"/>
  <c r="B300" i="7"/>
  <c r="F300" i="7"/>
  <c r="C300" i="7"/>
  <c r="D300" i="7"/>
  <c r="B301" i="7"/>
  <c r="F301" i="7"/>
  <c r="C301" i="7"/>
  <c r="D301" i="7"/>
  <c r="B302" i="7"/>
  <c r="F302" i="7"/>
  <c r="C302" i="7"/>
  <c r="D302" i="7"/>
  <c r="B303" i="7"/>
  <c r="F303" i="7"/>
  <c r="C303" i="7"/>
  <c r="D303" i="7"/>
  <c r="B304" i="7"/>
  <c r="F304" i="7"/>
  <c r="C304" i="7"/>
  <c r="D304" i="7"/>
  <c r="B305" i="7"/>
  <c r="F305" i="7"/>
  <c r="C305" i="7"/>
  <c r="D305" i="7"/>
  <c r="B306" i="7"/>
  <c r="F306" i="7"/>
  <c r="C306" i="7"/>
  <c r="D306" i="7"/>
  <c r="B307" i="7"/>
  <c r="F307" i="7"/>
  <c r="C307" i="7"/>
  <c r="D307" i="7"/>
  <c r="B308" i="7"/>
  <c r="F308" i="7"/>
  <c r="C308" i="7"/>
  <c r="D308" i="7"/>
  <c r="B309" i="7"/>
  <c r="F309" i="7"/>
  <c r="C309" i="7"/>
  <c r="D309" i="7"/>
  <c r="B310" i="7"/>
  <c r="F310" i="7"/>
  <c r="C310" i="7"/>
  <c r="D310" i="7"/>
  <c r="B311" i="7"/>
  <c r="F311" i="7"/>
  <c r="C311" i="7"/>
  <c r="D311" i="7"/>
  <c r="B312" i="7"/>
  <c r="F312" i="7"/>
  <c r="C312" i="7"/>
  <c r="D312" i="7"/>
  <c r="B313" i="7"/>
  <c r="F313" i="7"/>
  <c r="C313" i="7"/>
  <c r="D313" i="7"/>
  <c r="B314" i="7"/>
  <c r="F314" i="7"/>
  <c r="C314" i="7"/>
  <c r="D314" i="7"/>
  <c r="B315" i="7"/>
  <c r="F315" i="7"/>
  <c r="C315" i="7"/>
  <c r="D315" i="7"/>
  <c r="B316" i="7"/>
  <c r="F316" i="7"/>
  <c r="C316" i="7"/>
  <c r="D316" i="7"/>
  <c r="B317" i="7"/>
  <c r="F317" i="7"/>
  <c r="C317" i="7"/>
  <c r="D317" i="7"/>
  <c r="B318" i="7"/>
  <c r="F318" i="7"/>
  <c r="C318" i="7"/>
  <c r="D318" i="7"/>
  <c r="B319" i="7"/>
  <c r="F319" i="7"/>
  <c r="C319" i="7"/>
  <c r="D319" i="7"/>
  <c r="B320" i="7"/>
  <c r="F320" i="7"/>
  <c r="C320" i="7"/>
  <c r="D320" i="7"/>
  <c r="B321" i="7"/>
  <c r="F321" i="7"/>
  <c r="C321" i="7"/>
  <c r="D321" i="7"/>
  <c r="B322" i="7"/>
  <c r="F322" i="7"/>
  <c r="C322" i="7"/>
  <c r="D322" i="7"/>
  <c r="B323" i="7"/>
  <c r="F323" i="7"/>
  <c r="C323" i="7"/>
  <c r="D323" i="7"/>
  <c r="B324" i="7"/>
  <c r="F324" i="7"/>
  <c r="C324" i="7"/>
  <c r="D324" i="7"/>
  <c r="B325" i="7"/>
  <c r="F325" i="7"/>
  <c r="C325" i="7"/>
  <c r="D325" i="7"/>
  <c r="B326" i="7"/>
  <c r="F326" i="7"/>
  <c r="C326" i="7"/>
  <c r="D326" i="7"/>
  <c r="B327" i="7"/>
  <c r="F327" i="7"/>
  <c r="C327" i="7"/>
  <c r="D327" i="7"/>
  <c r="B328" i="7"/>
  <c r="F328" i="7"/>
  <c r="C328" i="7"/>
  <c r="D328" i="7"/>
  <c r="B329" i="7"/>
  <c r="F329" i="7"/>
  <c r="C329" i="7"/>
  <c r="D329" i="7"/>
  <c r="B330" i="7"/>
  <c r="F330" i="7"/>
  <c r="C330" i="7"/>
  <c r="D330" i="7"/>
  <c r="B331" i="7"/>
  <c r="F331" i="7"/>
  <c r="C331" i="7"/>
  <c r="D331" i="7"/>
  <c r="B332" i="7"/>
  <c r="F332" i="7"/>
  <c r="C332" i="7"/>
  <c r="D332" i="7"/>
  <c r="B333" i="7"/>
  <c r="F333" i="7"/>
  <c r="C333" i="7"/>
  <c r="D333" i="7"/>
  <c r="B334" i="7"/>
  <c r="F334" i="7"/>
  <c r="C334" i="7"/>
  <c r="D334" i="7"/>
  <c r="B335" i="7"/>
  <c r="F335" i="7"/>
  <c r="C335" i="7"/>
  <c r="D335" i="7"/>
  <c r="B336" i="7"/>
  <c r="F336" i="7"/>
  <c r="C336" i="7"/>
  <c r="D336" i="7"/>
  <c r="B337" i="7"/>
  <c r="F337" i="7"/>
  <c r="C337" i="7"/>
  <c r="D337" i="7"/>
  <c r="B338" i="7"/>
  <c r="F338" i="7"/>
  <c r="C338" i="7"/>
  <c r="D338" i="7"/>
  <c r="B339" i="7"/>
  <c r="F339" i="7"/>
  <c r="C339" i="7"/>
  <c r="D339" i="7"/>
  <c r="B340" i="7"/>
  <c r="F340" i="7"/>
  <c r="C340" i="7"/>
  <c r="D340" i="7"/>
  <c r="B341" i="7"/>
  <c r="F341" i="7"/>
  <c r="C341" i="7"/>
  <c r="D341" i="7"/>
  <c r="B342" i="7"/>
  <c r="F342" i="7"/>
  <c r="C342" i="7"/>
  <c r="D342" i="7"/>
  <c r="B343" i="7"/>
  <c r="F343" i="7"/>
  <c r="C343" i="7"/>
  <c r="D343" i="7"/>
  <c r="B344" i="7"/>
  <c r="F344" i="7"/>
  <c r="C344" i="7"/>
  <c r="D344" i="7"/>
  <c r="B345" i="7"/>
  <c r="F345" i="7"/>
  <c r="C345" i="7"/>
  <c r="D345" i="7"/>
  <c r="B346" i="7"/>
  <c r="F346" i="7"/>
  <c r="C346" i="7"/>
  <c r="D346" i="7"/>
  <c r="B347" i="7"/>
  <c r="F347" i="7"/>
  <c r="C347" i="7"/>
  <c r="D347" i="7"/>
  <c r="B348" i="7"/>
  <c r="F348" i="7"/>
  <c r="C348" i="7"/>
  <c r="D348" i="7"/>
  <c r="B349" i="7"/>
  <c r="F349" i="7"/>
  <c r="C349" i="7"/>
  <c r="D349" i="7"/>
  <c r="B350" i="7"/>
  <c r="F350" i="7"/>
  <c r="C350" i="7"/>
  <c r="D350" i="7"/>
  <c r="B351" i="7"/>
  <c r="F351" i="7"/>
  <c r="C351" i="7"/>
  <c r="D351" i="7"/>
  <c r="B352" i="7"/>
  <c r="F352" i="7"/>
  <c r="C352" i="7"/>
  <c r="D352" i="7"/>
  <c r="B353" i="7"/>
  <c r="F353" i="7"/>
  <c r="C353" i="7"/>
  <c r="D353" i="7"/>
  <c r="B354" i="7"/>
  <c r="F354" i="7"/>
  <c r="C354" i="7"/>
  <c r="D354" i="7"/>
  <c r="B355" i="7"/>
  <c r="F355" i="7"/>
  <c r="C355" i="7"/>
  <c r="D355" i="7"/>
  <c r="B356" i="7"/>
  <c r="F356" i="7"/>
  <c r="C356" i="7"/>
  <c r="D356" i="7"/>
  <c r="B357" i="7"/>
  <c r="F357" i="7"/>
  <c r="C357" i="7"/>
  <c r="D357" i="7"/>
  <c r="B358" i="7"/>
  <c r="F358" i="7"/>
  <c r="C358" i="7"/>
  <c r="D358" i="7"/>
  <c r="B359" i="7"/>
  <c r="F359" i="7"/>
  <c r="C359" i="7"/>
  <c r="D359" i="7"/>
  <c r="B360" i="7"/>
  <c r="F360" i="7"/>
  <c r="C360" i="7"/>
  <c r="D360" i="7"/>
  <c r="B361" i="7"/>
  <c r="C361" i="7"/>
  <c r="D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I9" i="7"/>
  <c r="I10" i="7"/>
  <c r="I11" i="7"/>
  <c r="E11" i="7"/>
  <c r="E10" i="7"/>
  <c r="E9" i="7"/>
  <c r="E8" i="7"/>
  <c r="I7" i="7"/>
  <c r="E7" i="7"/>
  <c r="E6" i="7"/>
  <c r="E5" i="7"/>
  <c r="E4" i="7"/>
  <c r="E3" i="7"/>
  <c r="E2" i="7"/>
  <c r="B9" i="6"/>
  <c r="B4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G6" i="6"/>
  <c r="E2" i="6"/>
  <c r="E3" i="6"/>
  <c r="E4" i="6"/>
  <c r="E5" i="6"/>
  <c r="E6" i="6"/>
  <c r="F6" i="6"/>
  <c r="G5" i="6"/>
  <c r="F5" i="6"/>
  <c r="G4" i="6"/>
  <c r="F4" i="6"/>
  <c r="G3" i="6"/>
  <c r="F3" i="6"/>
  <c r="G2" i="6"/>
  <c r="F2" i="6"/>
  <c r="F51" i="5"/>
  <c r="F52" i="5"/>
  <c r="F53" i="5"/>
  <c r="F54" i="5"/>
  <c r="F55" i="5"/>
  <c r="F44" i="5"/>
  <c r="F45" i="5"/>
  <c r="F46" i="5"/>
  <c r="F47" i="5"/>
  <c r="F48" i="5"/>
  <c r="F49" i="5"/>
  <c r="F38" i="5"/>
  <c r="F39" i="5"/>
  <c r="F40" i="5"/>
  <c r="F41" i="5"/>
  <c r="F42" i="5"/>
  <c r="F31" i="5"/>
  <c r="F32" i="5"/>
  <c r="F33" i="5"/>
  <c r="F34" i="5"/>
  <c r="F35" i="5"/>
  <c r="F36" i="5"/>
  <c r="F22" i="5"/>
  <c r="F23" i="5"/>
  <c r="F24" i="5"/>
  <c r="F25" i="5"/>
  <c r="F28" i="5"/>
  <c r="F27" i="5"/>
  <c r="F26" i="5"/>
  <c r="F29" i="5"/>
  <c r="F15" i="5"/>
  <c r="F16" i="5"/>
  <c r="F17" i="5"/>
  <c r="F18" i="5"/>
  <c r="F19" i="5"/>
  <c r="F20" i="5"/>
  <c r="F5" i="5"/>
  <c r="F6" i="5"/>
  <c r="F7" i="5"/>
  <c r="F8" i="5"/>
  <c r="F12" i="5"/>
  <c r="F11" i="5"/>
  <c r="F10" i="5"/>
  <c r="F9" i="5"/>
  <c r="F13" i="5"/>
  <c r="F3" i="5"/>
  <c r="F35" i="4"/>
  <c r="F36" i="4"/>
  <c r="F38" i="4"/>
  <c r="F29" i="4"/>
  <c r="F30" i="4"/>
  <c r="F31" i="4"/>
  <c r="F32" i="4"/>
  <c r="F33" i="4"/>
  <c r="F24" i="4"/>
  <c r="F25" i="4"/>
  <c r="F26" i="4"/>
  <c r="F27" i="4"/>
  <c r="F18" i="4"/>
  <c r="F19" i="4"/>
  <c r="F20" i="4"/>
  <c r="F21" i="4"/>
  <c r="F22" i="4"/>
  <c r="J5" i="4"/>
  <c r="C13" i="4"/>
  <c r="F13" i="4"/>
  <c r="J6" i="4"/>
  <c r="C14" i="4"/>
  <c r="F14" i="4"/>
  <c r="C15" i="4"/>
  <c r="F15" i="4"/>
  <c r="F16" i="4"/>
  <c r="C5" i="4"/>
  <c r="F5" i="4"/>
  <c r="F6" i="4"/>
  <c r="F7" i="4"/>
  <c r="F8" i="4"/>
  <c r="C10" i="4"/>
  <c r="F10" i="4"/>
  <c r="F9" i="4"/>
  <c r="F11" i="4"/>
  <c r="F3" i="4"/>
  <c r="B7" i="3"/>
  <c r="C20" i="3"/>
  <c r="C22" i="3"/>
  <c r="C23" i="3"/>
  <c r="C24" i="3"/>
  <c r="C26" i="3"/>
  <c r="C27" i="3"/>
  <c r="C30" i="3"/>
  <c r="F7" i="3"/>
  <c r="C31" i="3"/>
  <c r="C32" i="3"/>
  <c r="B11" i="3"/>
  <c r="B12" i="3"/>
  <c r="B13" i="3"/>
  <c r="D50" i="2"/>
  <c r="D45" i="2"/>
  <c r="D40" i="2"/>
  <c r="D32" i="2"/>
  <c r="H19" i="2"/>
  <c r="H20" i="2"/>
  <c r="H21" i="2"/>
  <c r="I11" i="2"/>
  <c r="D18" i="2"/>
  <c r="D25" i="2"/>
  <c r="I10" i="2"/>
  <c r="H23" i="2"/>
  <c r="H25" i="2"/>
  <c r="D4" i="2"/>
  <c r="D5" i="2"/>
  <c r="D8" i="2"/>
  <c r="D9" i="2"/>
  <c r="D10" i="2"/>
  <c r="I7" i="2"/>
  <c r="I12" i="2"/>
  <c r="I14" i="2"/>
  <c r="I16" i="2"/>
  <c r="M11" i="2"/>
  <c r="M12" i="2"/>
  <c r="J16" i="2"/>
  <c r="B29" i="1"/>
  <c r="B28" i="1"/>
  <c r="B27" i="1"/>
  <c r="B26" i="1"/>
  <c r="B23" i="1"/>
  <c r="B22" i="1"/>
  <c r="B21" i="1"/>
  <c r="B20" i="1"/>
  <c r="B17" i="1"/>
  <c r="B16" i="1"/>
  <c r="B15" i="1"/>
  <c r="B14" i="1"/>
  <c r="B13" i="1"/>
  <c r="B4" i="1"/>
  <c r="B5" i="1"/>
  <c r="B6" i="1"/>
  <c r="B10" i="1"/>
  <c r="B7" i="1"/>
  <c r="B8" i="1"/>
  <c r="B9" i="1"/>
</calcChain>
</file>

<file path=xl/sharedStrings.xml><?xml version="1.0" encoding="utf-8"?>
<sst xmlns="http://schemas.openxmlformats.org/spreadsheetml/2006/main" count="375" uniqueCount="264">
  <si>
    <t>Dashboard PRO - Hofakkers 44</t>
  </si>
  <si>
    <t>Maandelijkse cashflow</t>
  </si>
  <si>
    <t>Netto inkomen per maand</t>
  </si>
  <si>
    <t>Vaste lasten per maand (wonen + verzekeringen + vervoer)</t>
  </si>
  <si>
    <t>Variabele lasten per maand (boodschappen + vrijetijd)</t>
  </si>
  <si>
    <t>Sparen &amp; beleggen per maand</t>
  </si>
  <si>
    <t>Totaal uitgaven incl. sparen</t>
  </si>
  <si>
    <t>Ruimte per maand (incl. sparen)</t>
  </si>
  <si>
    <t>Ruimte per maand excl. sparen</t>
  </si>
  <si>
    <t>Eenmalige projectkosten</t>
  </si>
  <si>
    <t>Verbouwing (totaal)</t>
  </si>
  <si>
    <t>Inboedel (totaal)</t>
  </si>
  <si>
    <t>Projectkosten samen (verbouwing + inboedel)</t>
  </si>
  <si>
    <t>Benodigd geld woning (aankoopkosten + project)</t>
  </si>
  <si>
    <t>Benodigd per persoon</t>
  </si>
  <si>
    <t>Vermogen &amp; buffer na verbouwing</t>
  </si>
  <si>
    <t>Totaal sparen + beleggen nu</t>
  </si>
  <si>
    <t>Vermogen Patrick na verbouwing</t>
  </si>
  <si>
    <t>Vermogen Willianne na verbouwing</t>
  </si>
  <si>
    <t>Samen vermogen na verbouwing</t>
  </si>
  <si>
    <t>Kengetallen woning &amp; verbouwing</t>
  </si>
  <si>
    <t>BG woon/keuken zonder uitbouw (m²)</t>
  </si>
  <si>
    <t>Uitbouw woon/keuken (m²)</t>
  </si>
  <si>
    <t>Totale woon/keuken na uitbouw (m²)</t>
  </si>
  <si>
    <t>Vloerverwarming m²</t>
  </si>
  <si>
    <t>Maandbegroting - overzicht per categorie</t>
  </si>
  <si>
    <t>INKOMSTEN &amp; TOESLAGEN</t>
  </si>
  <si>
    <t>INKOMSTEN</t>
  </si>
  <si>
    <t>Willianne</t>
  </si>
  <si>
    <t>OVERZICHT</t>
  </si>
  <si>
    <t xml:space="preserve">Vakantiegeld </t>
  </si>
  <si>
    <t xml:space="preserve">13 de maand </t>
  </si>
  <si>
    <t xml:space="preserve">Patrick </t>
  </si>
  <si>
    <t>reiskosten vergoeding Patrick</t>
  </si>
  <si>
    <t>Totaal inkomsten (maand)</t>
  </si>
  <si>
    <t>Vakantiegeld + 13de</t>
  </si>
  <si>
    <t xml:space="preserve">Vakantiegeld + 13de </t>
  </si>
  <si>
    <t>Patrick</t>
  </si>
  <si>
    <t>Bonus Patrick per jaar</t>
  </si>
  <si>
    <t>totaal inkomen</t>
  </si>
  <si>
    <t>Totaal vaste lasten (maand)</t>
  </si>
  <si>
    <t>Totaal variabele lasten (maand)</t>
  </si>
  <si>
    <t>Extra inkomen per jaar</t>
  </si>
  <si>
    <t>VASTE LASTEN</t>
  </si>
  <si>
    <t>Netto maand (Inkomen - Uitgaven)</t>
  </si>
  <si>
    <t>Extra inkomen per maand</t>
  </si>
  <si>
    <t>WONEN</t>
  </si>
  <si>
    <t>Hypotheek / Rente</t>
  </si>
  <si>
    <t>Onderhoud en belasting</t>
  </si>
  <si>
    <t>Sparen + beleggen</t>
  </si>
  <si>
    <t>Energie (gas/elec)</t>
  </si>
  <si>
    <t>Met vakantiegeld en bonussen</t>
  </si>
  <si>
    <t>Water</t>
  </si>
  <si>
    <t>Buffer in uitgaven</t>
  </si>
  <si>
    <t>Internet / TV / Vast</t>
  </si>
  <si>
    <t>Wonen kosten</t>
  </si>
  <si>
    <t>jaarinkomen Willianne (netto)</t>
  </si>
  <si>
    <t>VERZEKERINGEN</t>
  </si>
  <si>
    <t>Jaarinkomen Patrick (netto)</t>
  </si>
  <si>
    <t>Inboedelverzekering</t>
  </si>
  <si>
    <t>Zorgverzekering P1</t>
  </si>
  <si>
    <t>Zorgverzekering P2</t>
  </si>
  <si>
    <t>Totaal geschatte kosten per jaar</t>
  </si>
  <si>
    <t>Reis, levensverzekering erc</t>
  </si>
  <si>
    <t>Verzekering kosten</t>
  </si>
  <si>
    <t>Totaal over per jaar</t>
  </si>
  <si>
    <t>VERVOER</t>
  </si>
  <si>
    <t>Autoverzekering</t>
  </si>
  <si>
    <t>-</t>
  </si>
  <si>
    <t>Wegenbelasting</t>
  </si>
  <si>
    <t xml:space="preserve">Brandstof </t>
  </si>
  <si>
    <t>Onderhoud auto</t>
  </si>
  <si>
    <t>Totaal vervoerkosten</t>
  </si>
  <si>
    <t>VARIABELE LASTEN &amp; SPAREN</t>
  </si>
  <si>
    <t>BOODSCHAPPEN</t>
  </si>
  <si>
    <t>Boodschappen</t>
  </si>
  <si>
    <t>HUISHOUD</t>
  </si>
  <si>
    <t>Overige aankopen</t>
  </si>
  <si>
    <t>PERSOONLIJK</t>
  </si>
  <si>
    <t>Willianne kleding</t>
  </si>
  <si>
    <t>Patrick Kleding</t>
  </si>
  <si>
    <t>Sport / Abonnementen</t>
  </si>
  <si>
    <t>Totaal lasten</t>
  </si>
  <si>
    <t>VRIJETIJD</t>
  </si>
  <si>
    <t>Eten/drinken buiten de deur</t>
  </si>
  <si>
    <t>Abonnementen (Netflix/Spotify/etc.)</t>
  </si>
  <si>
    <t>Uitjes / Overige</t>
  </si>
  <si>
    <t>Totaal vrijetijd</t>
  </si>
  <si>
    <t>SPAREN</t>
  </si>
  <si>
    <t>Spaarbuffer / Noodfonds</t>
  </si>
  <si>
    <t>Vakantiesparen</t>
  </si>
  <si>
    <t>Beleggen (maandelijkse inleg)</t>
  </si>
  <si>
    <t>privé bankrekening</t>
  </si>
  <si>
    <t>spaarrekening</t>
  </si>
  <si>
    <t>Beleggen</t>
  </si>
  <si>
    <t xml:space="preserve">Totaal vermogen </t>
  </si>
  <si>
    <t>Samen vermogen</t>
  </si>
  <si>
    <t>Sparen</t>
  </si>
  <si>
    <t>Begroting kosten - Hofakkers 44</t>
  </si>
  <si>
    <t>Hypotheekadvies</t>
  </si>
  <si>
    <t>Notaris en bankkosten</t>
  </si>
  <si>
    <t>Makelaarkosten</t>
  </si>
  <si>
    <t xml:space="preserve"> Totaal kosten aankoop</t>
  </si>
  <si>
    <t>Begroting voor verbouwing</t>
  </si>
  <si>
    <t>Begroting voor Inboedel aankopen</t>
  </si>
  <si>
    <t xml:space="preserve">Totaal </t>
  </si>
  <si>
    <t>Benodigd geld woning</t>
  </si>
  <si>
    <t>Verdeling kosten per persoon</t>
  </si>
  <si>
    <t>Vermogen per persoon na verbouwing</t>
  </si>
  <si>
    <t>Totaal</t>
  </si>
  <si>
    <t>Verbouwingsbegroting Hofakkers 44</t>
  </si>
  <si>
    <t>Parameters begane grond (m²)</t>
  </si>
  <si>
    <t>Categorie</t>
  </si>
  <si>
    <t>Post</t>
  </si>
  <si>
    <t>Aantal</t>
  </si>
  <si>
    <t>Eenheid</t>
  </si>
  <si>
    <t>Kosten per eenheid (€)</t>
  </si>
  <si>
    <t>Totaal (€)</t>
  </si>
  <si>
    <t>Opmerking</t>
  </si>
  <si>
    <t>Totale verwachting kosten</t>
  </si>
  <si>
    <t>Uitbouw</t>
  </si>
  <si>
    <t>Uitbouw casco (materiaal, hout, isolatie, kozijnen)</t>
  </si>
  <si>
    <t>m²</t>
  </si>
  <si>
    <t>Totaal woon/keuken (m²)</t>
  </si>
  <si>
    <t>Fundering / vloerconstructie extra</t>
  </si>
  <si>
    <t>post</t>
  </si>
  <si>
    <t>Vloerverwarming (m²)</t>
  </si>
  <si>
    <t>Schuifpui + glas HR++</t>
  </si>
  <si>
    <t>stuks</t>
  </si>
  <si>
    <t>Extra elektra (spots, stopcontacten, loze leidingen)</t>
  </si>
  <si>
    <t>Aansluitwerk</t>
  </si>
  <si>
    <t>Stucwerk wanden/plafond uitbouw</t>
  </si>
  <si>
    <t>Totaal uitbouw</t>
  </si>
  <si>
    <t>Vloeren &amp; vloerverwarming</t>
  </si>
  <si>
    <t>Nieuwe vloer begane grond (PVC/laminaat incl. leggen)</t>
  </si>
  <si>
    <t>Elektrische vloerverwarming (woonkamer/keuken)</t>
  </si>
  <si>
    <t>Plinten / afwerking vloer</t>
  </si>
  <si>
    <t>m¹</t>
  </si>
  <si>
    <t>Schatting m¹ plinten ≈ 1,3 x vloer-m²</t>
  </si>
  <si>
    <t>Totaal Vloer</t>
  </si>
  <si>
    <t>Keuken met kookeiland</t>
  </si>
  <si>
    <t>Nieuwe keuken incl. kookeiland (kasten + apparatuur)</t>
  </si>
  <si>
    <t>Sloop oude keuken + afvoer</t>
  </si>
  <si>
    <t>Extra elektra (inductie, groepen, kookgroep, spots)</t>
  </si>
  <si>
    <t>Loodgieter (verleggen water/afvoer)</t>
  </si>
  <si>
    <t>Totaal keuken</t>
  </si>
  <si>
    <t>Schilder- en behangwerk binnen</t>
  </si>
  <si>
    <t>Muren + plafonds schilderen verf (zelf doen + hulp)</t>
  </si>
  <si>
    <t>Behang / renovlies + sausen</t>
  </si>
  <si>
    <t>Schuur- en voorbehandeling (zelf doen)</t>
  </si>
  <si>
    <t>Toaal schilderwerk</t>
  </si>
  <si>
    <t>Badkamer &amp; toilet</t>
  </si>
  <si>
    <t>Nieuw badkamermeubel + spiegelkast</t>
  </si>
  <si>
    <t>Toiletruimte: tegels + stuc + afvoer oude tegels</t>
  </si>
  <si>
    <t xml:space="preserve">Toiletruimte: Wastafel meubel </t>
  </si>
  <si>
    <t>Badkameraccessoires, zeepbakjes etc.</t>
  </si>
  <si>
    <t>Totaal Sanitair</t>
  </si>
  <si>
    <t>Overig &amp; reserve</t>
  </si>
  <si>
    <t>Overig</t>
  </si>
  <si>
    <t>Verlichting door hele huis (spots, lampen,)</t>
  </si>
  <si>
    <t>Kleine materialen (schroeven, kitten, gips, gereedschap)</t>
  </si>
  <si>
    <t>Reserve</t>
  </si>
  <si>
    <t>Onvoorzien verbouwing en buffer in budget (ca. 10% verbouwkosten)</t>
  </si>
  <si>
    <t>Totaal Reserve posten</t>
  </si>
  <si>
    <t>Inboedelbegroting (2 personen)</t>
  </si>
  <si>
    <t>Totaal kosten</t>
  </si>
  <si>
    <t>Woonkamer</t>
  </si>
  <si>
    <t>Bank (3-zits)</t>
  </si>
  <si>
    <t>Fauteuil / extra stoel</t>
  </si>
  <si>
    <t>Salontafel</t>
  </si>
  <si>
    <t>TV-meubel</t>
  </si>
  <si>
    <t>TV (50–55 inch)</t>
  </si>
  <si>
    <t>Vloerkleed</t>
  </si>
  <si>
    <t>Gordijnen / raamdecoratie</t>
  </si>
  <si>
    <t>Staande / hanglampen &amp; verlichting</t>
  </si>
  <si>
    <t>Totaal woonkamer</t>
  </si>
  <si>
    <t>Keukeninrichting</t>
  </si>
  <si>
    <t>Eethoek</t>
  </si>
  <si>
    <t>Eettafel</t>
  </si>
  <si>
    <t>Eetkamerstoelen</t>
  </si>
  <si>
    <t>Keuken</t>
  </si>
  <si>
    <t>Servies, bestek, glazen, pannen</t>
  </si>
  <si>
    <t>set</t>
  </si>
  <si>
    <t>Kleine apparaten (waterkoker, koffiezet, broodrooster, mixer)</t>
  </si>
  <si>
    <t>Kitchenaid + koffie al 1k. Is een keuze</t>
  </si>
  <si>
    <t>Keukentextiel &amp; opbergboxen</t>
  </si>
  <si>
    <t>Slaapkamer (hoofdslaapkamer)</t>
  </si>
  <si>
    <t>Slaapkamer</t>
  </si>
  <si>
    <t>Bedframe 2-persoons</t>
  </si>
  <si>
    <t>Matras 2-persoons</t>
  </si>
  <si>
    <t>Lattenbodem / bedbodem</t>
  </si>
  <si>
    <t>Nachtkastjes</t>
  </si>
  <si>
    <t>Kledingkast</t>
  </si>
  <si>
    <t>Dekbedden, kussens, beddengoed</t>
  </si>
  <si>
    <t>Totaal slaapkamer</t>
  </si>
  <si>
    <t>Zolder / Logeerkamer +  Werkkamer</t>
  </si>
  <si>
    <t xml:space="preserve">Zolder / Logeerkamer </t>
  </si>
  <si>
    <t>Bed (1- of 2-persoons)</t>
  </si>
  <si>
    <t>Kan later</t>
  </si>
  <si>
    <t>Matras</t>
  </si>
  <si>
    <t>kan later</t>
  </si>
  <si>
    <t>Werkkamer</t>
  </si>
  <si>
    <t>Bureau</t>
  </si>
  <si>
    <t>Voor willianne -&gt; Vergoeding werk voor Patrick</t>
  </si>
  <si>
    <t>Bureaustoel</t>
  </si>
  <si>
    <t>Kast / opbergrek</t>
  </si>
  <si>
    <t>Totaal restkamers</t>
  </si>
  <si>
    <t>Badkamer</t>
  </si>
  <si>
    <t>Handdoeken set + gastendoekjes</t>
  </si>
  <si>
    <t>Badkameraccessoires (prullenbak, zeeppomp, matten, etc.)</t>
  </si>
  <si>
    <t>Föhn, weegschaal, kleine spullen</t>
  </si>
  <si>
    <t>Toilet</t>
  </si>
  <si>
    <t>Toiletaccessoires (borstel, houder, prullenbak)</t>
  </si>
  <si>
    <t>Totaal sanitair</t>
  </si>
  <si>
    <t>Wasruimte &amp; schoonmaak</t>
  </si>
  <si>
    <t>Wasruimte</t>
  </si>
  <si>
    <t>Wasmachine</t>
  </si>
  <si>
    <t>Ouders?</t>
  </si>
  <si>
    <t>Droger (of warmtepompdroger)</t>
  </si>
  <si>
    <t>Strijkplank + strijkijzer</t>
  </si>
  <si>
    <t>Schoonmaak</t>
  </si>
  <si>
    <t>Stofzuiger (evt. steelstofzuiger)</t>
  </si>
  <si>
    <t>Dyson? Robot?</t>
  </si>
  <si>
    <t>Schoonmaakspullen / emmers / dweil</t>
  </si>
  <si>
    <t>Totaal wasruimte</t>
  </si>
  <si>
    <t>Overig / decoratie</t>
  </si>
  <si>
    <t>Planten &amp; potten</t>
  </si>
  <si>
    <t>Wanddecoratie / lijsten / spiegels</t>
  </si>
  <si>
    <t>Kleine meubeltjes (sidetables, bijzettafeltjes)</t>
  </si>
  <si>
    <t>Overig onvoorzien inboedel</t>
  </si>
  <si>
    <t>Totaal overige</t>
  </si>
  <si>
    <t>Sparen &amp; Beleggen - Projectie per maand</t>
  </si>
  <si>
    <t>Inleg totaal</t>
  </si>
  <si>
    <t>Rendement totaal</t>
  </si>
  <si>
    <t>Eindsaldo totaal</t>
  </si>
  <si>
    <t>Saldo na 10 jaar</t>
  </si>
  <si>
    <t>Startwaarde</t>
  </si>
  <si>
    <t>Saldo na 20 jaar</t>
  </si>
  <si>
    <t>Maandelijkse inleg (totaal)</t>
  </si>
  <si>
    <t>Saldo na 30 jaar</t>
  </si>
  <si>
    <t>Verwacht jaarlijks rendement (%)</t>
  </si>
  <si>
    <t>Saldo na 40 jaar</t>
  </si>
  <si>
    <t>Periode (jaren)</t>
  </si>
  <si>
    <t>Saldo na 50 jaar</t>
  </si>
  <si>
    <t>Jaar</t>
  </si>
  <si>
    <t>Beginwaarde (€)</t>
  </si>
  <si>
    <t>Inleg (€)</t>
  </si>
  <si>
    <t>Rendement (€)</t>
  </si>
  <si>
    <t>Eindwaarde (€)</t>
  </si>
  <si>
    <t>Periode</t>
  </si>
  <si>
    <t>Totale schuld</t>
  </si>
  <si>
    <t>Te betalen rente</t>
  </si>
  <si>
    <t>Te betalen aflossing</t>
  </si>
  <si>
    <t>Restschuld</t>
  </si>
  <si>
    <t>Totale maandbedrag</t>
  </si>
  <si>
    <t>Gegevens Annuïteitenhypotheek</t>
  </si>
  <si>
    <t>Hoofdsom</t>
  </si>
  <si>
    <t>Rentepercentage</t>
  </si>
  <si>
    <t>Looptijd in maanden</t>
  </si>
  <si>
    <t>Totaal maandelijks</t>
  </si>
  <si>
    <t>Totaal annuïteiten</t>
  </si>
  <si>
    <t>Totaal betaalde rente</t>
  </si>
  <si>
    <t>totaal betaalde aflossing</t>
  </si>
  <si>
    <t>totaal betaald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</si>
</sst>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EUR ]#,##0.00_-"/>
    <numFmt numFmtId="165" formatCode="_ &quot;€&quot;\ * #,##0.00_ ;_ &quot;€&quot;\ * \-#,##0.00_ ;_ &quot;€&quot;\ * &quot;-&quot;??_ ;_ @_ "/>
    <numFmt numFmtId="166" formatCode="&quot;€&quot;\ #,##0;[Red]&quot;€&quot;\ \-#,##0"/>
    <numFmt numFmtId="167" formatCode="&quot;€&quot;\ #,##0.00;[Red]&quot;€&quot;\ \-#,##0.00"/>
    <numFmt numFmtId="168" formatCode="&quot;€&quot;\ #,##0.00"/>
  </numFmts>
  <fonts count="2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42424"/>
      <name val="Aptos Narrow"/>
      <family val="2"/>
    </font>
    <font>
      <sz val="11"/>
      <color rgb="FF242424"/>
      <name val="Aptos Narrow"/>
      <family val="2"/>
    </font>
    <font>
      <b/>
      <sz val="11"/>
      <name val="Calibri"/>
      <family val="2"/>
      <scheme val="minor"/>
    </font>
    <font>
      <b/>
      <sz val="9"/>
      <color rgb="FF242424"/>
      <name val="Calibri"/>
      <family val="2"/>
      <scheme val="minor"/>
    </font>
    <font>
      <b/>
      <sz val="11"/>
      <color rgb="FF24242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name val="Calibri"/>
      <family val="2"/>
    </font>
    <font>
      <b/>
      <i/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1F734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4" fillId="0" borderId="0"/>
    <xf numFmtId="0" fontId="16" fillId="0" borderId="0"/>
  </cellStyleXfs>
  <cellXfs count="10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3" fillId="0" borderId="0" xfId="0" applyFont="1"/>
    <xf numFmtId="0" fontId="6" fillId="3" borderId="1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6" fillId="4" borderId="2" xfId="0" applyFont="1" applyFill="1" applyBorder="1"/>
    <xf numFmtId="0" fontId="8" fillId="4" borderId="3" xfId="0" applyFont="1" applyFill="1" applyBorder="1"/>
    <xf numFmtId="0" fontId="9" fillId="0" borderId="1" xfId="0" applyFont="1" applyBorder="1"/>
    <xf numFmtId="10" fontId="13" fillId="0" borderId="1" xfId="0" applyNumberFormat="1" applyFont="1" applyBorder="1"/>
    <xf numFmtId="0" fontId="13" fillId="0" borderId="1" xfId="0" applyFont="1" applyBorder="1"/>
    <xf numFmtId="0" fontId="9" fillId="5" borderId="1" xfId="0" applyFont="1" applyFill="1" applyBorder="1"/>
    <xf numFmtId="0" fontId="4" fillId="0" borderId="0" xfId="0" applyFont="1"/>
    <xf numFmtId="0" fontId="17" fillId="0" borderId="0" xfId="0" applyFont="1"/>
    <xf numFmtId="0" fontId="19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2" fillId="7" borderId="0" xfId="0" applyFont="1" applyFill="1" applyAlignment="1">
      <alignment vertical="top"/>
    </xf>
    <xf numFmtId="0" fontId="0" fillId="7" borderId="0" xfId="0" applyFill="1"/>
    <xf numFmtId="0" fontId="20" fillId="6" borderId="0" xfId="0" applyFont="1" applyFill="1" applyAlignment="1">
      <alignment vertical="top"/>
    </xf>
    <xf numFmtId="0" fontId="19" fillId="6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20" fillId="8" borderId="0" xfId="0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19" fillId="8" borderId="0" xfId="0" applyFont="1" applyFill="1" applyAlignment="1">
      <alignment vertical="top"/>
    </xf>
    <xf numFmtId="0" fontId="23" fillId="8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/>
    <xf numFmtId="0" fontId="2" fillId="2" borderId="6" xfId="0" applyFont="1" applyFill="1" applyBorder="1" applyAlignment="1">
      <alignment horizontal="center"/>
    </xf>
    <xf numFmtId="0" fontId="2" fillId="9" borderId="0" xfId="0" applyFont="1" applyFill="1"/>
    <xf numFmtId="0" fontId="0" fillId="9" borderId="0" xfId="0" applyFill="1"/>
    <xf numFmtId="0" fontId="0" fillId="0" borderId="6" xfId="0" applyBorder="1"/>
    <xf numFmtId="0" fontId="0" fillId="0" borderId="0" xfId="0"/>
    <xf numFmtId="0" fontId="2" fillId="2" borderId="0" xfId="0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0" fontId="5" fillId="0" borderId="0" xfId="0" applyFont="1"/>
    <xf numFmtId="0" fontId="2" fillId="2" borderId="0" xfId="0" applyFont="1" applyFill="1" applyAlignment="1">
      <alignment vertical="top"/>
    </xf>
    <xf numFmtId="0" fontId="24" fillId="0" borderId="0" xfId="0" applyFont="1"/>
    <xf numFmtId="0" fontId="25" fillId="10" borderId="9" xfId="0" applyFont="1" applyFill="1" applyBorder="1"/>
    <xf numFmtId="0" fontId="0" fillId="10" borderId="9" xfId="0" applyFill="1" applyBorder="1"/>
    <xf numFmtId="0" fontId="25" fillId="0" borderId="0" xfId="0" applyFont="1"/>
    <xf numFmtId="164" fontId="0" fillId="0" borderId="0" xfId="0" applyNumberFormat="1"/>
    <xf numFmtId="165" fontId="0" fillId="0" borderId="0" xfId="1" applyFont="1"/>
    <xf numFmtId="164" fontId="2" fillId="8" borderId="0" xfId="0" applyNumberFormat="1" applyFont="1" applyFill="1" applyAlignment="1">
      <alignment vertical="top"/>
    </xf>
    <xf numFmtId="165" fontId="19" fillId="8" borderId="0" xfId="1" applyFont="1" applyFill="1" applyAlignment="1">
      <alignment vertical="top"/>
    </xf>
    <xf numFmtId="164" fontId="22" fillId="8" borderId="0" xfId="0" applyNumberFormat="1" applyFont="1" applyFill="1" applyAlignment="1">
      <alignment vertical="top"/>
    </xf>
    <xf numFmtId="165" fontId="22" fillId="8" borderId="0" xfId="1" applyFont="1" applyFill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1" applyFont="1" applyAlignment="1">
      <alignment vertical="top"/>
    </xf>
    <xf numFmtId="165" fontId="0" fillId="0" borderId="0" xfId="0" applyNumberFormat="1"/>
    <xf numFmtId="164" fontId="23" fillId="0" borderId="0" xfId="0" applyNumberFormat="1" applyFont="1" applyAlignment="1">
      <alignment vertical="top"/>
    </xf>
    <xf numFmtId="165" fontId="23" fillId="0" borderId="0" xfId="1" applyFont="1" applyAlignment="1">
      <alignment vertical="top"/>
    </xf>
    <xf numFmtId="164" fontId="2" fillId="2" borderId="0" xfId="0" applyNumberFormat="1" applyFont="1" applyFill="1" applyAlignment="1">
      <alignment vertical="top"/>
    </xf>
    <xf numFmtId="165" fontId="2" fillId="2" borderId="0" xfId="1" applyFont="1" applyFill="1" applyAlignment="1">
      <alignment vertical="top"/>
    </xf>
    <xf numFmtId="164" fontId="19" fillId="2" borderId="0" xfId="0" applyNumberFormat="1" applyFont="1" applyFill="1" applyAlignment="1">
      <alignment vertical="top"/>
    </xf>
    <xf numFmtId="165" fontId="19" fillId="2" borderId="0" xfId="1" applyFont="1" applyFill="1" applyAlignment="1">
      <alignment vertical="top"/>
    </xf>
    <xf numFmtId="165" fontId="23" fillId="0" borderId="0" xfId="0" applyNumberFormat="1" applyFont="1"/>
    <xf numFmtId="165" fontId="2" fillId="2" borderId="5" xfId="1" applyFont="1" applyFill="1" applyBorder="1" applyAlignment="1">
      <alignment vertical="top"/>
    </xf>
    <xf numFmtId="164" fontId="2" fillId="7" borderId="0" xfId="0" applyNumberFormat="1" applyFont="1" applyFill="1" applyAlignment="1">
      <alignment vertical="top"/>
    </xf>
    <xf numFmtId="165" fontId="2" fillId="7" borderId="0" xfId="1" applyFont="1" applyFill="1" applyAlignment="1">
      <alignment vertical="top"/>
    </xf>
    <xf numFmtId="165" fontId="23" fillId="0" borderId="5" xfId="0" applyNumberFormat="1" applyFont="1" applyBorder="1"/>
    <xf numFmtId="164" fontId="0" fillId="6" borderId="0" xfId="0" applyNumberFormat="1" applyFill="1" applyAlignment="1">
      <alignment vertical="top"/>
    </xf>
    <xf numFmtId="165" fontId="20" fillId="6" borderId="5" xfId="1" applyFont="1" applyFill="1" applyBorder="1" applyAlignment="1">
      <alignment vertical="top"/>
    </xf>
    <xf numFmtId="165" fontId="5" fillId="0" borderId="0" xfId="1" applyFont="1" applyAlignment="1">
      <alignment vertical="top"/>
    </xf>
    <xf numFmtId="164" fontId="0" fillId="8" borderId="0" xfId="0" applyNumberFormat="1" applyFill="1" applyAlignment="1">
      <alignment vertical="top"/>
    </xf>
    <xf numFmtId="165" fontId="20" fillId="8" borderId="0" xfId="1" applyFont="1" applyFill="1" applyAlignment="1">
      <alignment vertical="top"/>
    </xf>
    <xf numFmtId="165" fontId="0" fillId="0" borderId="5" xfId="1" applyFont="1" applyBorder="1"/>
    <xf numFmtId="165" fontId="0" fillId="0" borderId="5" xfId="0" applyNumberFormat="1" applyBorder="1"/>
    <xf numFmtId="165" fontId="23" fillId="0" borderId="0" xfId="1" applyFont="1"/>
    <xf numFmtId="165" fontId="5" fillId="0" borderId="5" xfId="0" applyNumberFormat="1" applyFont="1" applyBorder="1"/>
    <xf numFmtId="165" fontId="21" fillId="0" borderId="0" xfId="0" applyNumberFormat="1" applyFont="1"/>
    <xf numFmtId="0" fontId="0" fillId="0" borderId="9" xfId="0" applyBorder="1"/>
    <xf numFmtId="164" fontId="0" fillId="0" borderId="6" xfId="0" applyNumberFormat="1" applyBorder="1"/>
    <xf numFmtId="164" fontId="5" fillId="0" borderId="0" xfId="0" applyNumberFormat="1" applyFont="1"/>
    <xf numFmtId="164" fontId="0" fillId="9" borderId="0" xfId="0" applyNumberFormat="1" applyFill="1"/>
    <xf numFmtId="164" fontId="3" fillId="0" borderId="0" xfId="0" applyNumberFormat="1" applyFont="1"/>
    <xf numFmtId="165" fontId="5" fillId="0" borderId="0" xfId="1" applyFont="1"/>
    <xf numFmtId="165" fontId="4" fillId="0" borderId="0" xfId="1"/>
    <xf numFmtId="165" fontId="3" fillId="0" borderId="0" xfId="1" applyFont="1"/>
    <xf numFmtId="165" fontId="6" fillId="3" borderId="1" xfId="1" applyFont="1" applyFill="1" applyBorder="1"/>
    <xf numFmtId="165" fontId="8" fillId="3" borderId="1" xfId="1" applyFont="1" applyFill="1" applyBorder="1"/>
    <xf numFmtId="165" fontId="10" fillId="0" borderId="0" xfId="1" applyFont="1" applyAlignment="1">
      <alignment horizontal="center"/>
    </xf>
    <xf numFmtId="165" fontId="11" fillId="0" borderId="0" xfId="1" applyFont="1"/>
    <xf numFmtId="165" fontId="12" fillId="0" borderId="0" xfId="1" applyFont="1" applyAlignment="1">
      <alignment horizontal="left" vertical="center"/>
    </xf>
    <xf numFmtId="166" fontId="13" fillId="0" borderId="1" xfId="0" applyNumberFormat="1" applyFont="1" applyBorder="1"/>
    <xf numFmtId="167" fontId="14" fillId="6" borderId="1" xfId="0" applyNumberFormat="1" applyFont="1" applyFill="1" applyBorder="1"/>
    <xf numFmtId="165" fontId="15" fillId="6" borderId="1" xfId="1" applyFont="1" applyFill="1" applyBorder="1" applyAlignment="1">
      <alignment horizontal="left" vertical="center"/>
    </xf>
    <xf numFmtId="165" fontId="4" fillId="0" borderId="0" xfId="0" applyNumberFormat="1" applyFont="1"/>
    <xf numFmtId="165" fontId="10" fillId="0" borderId="4" xfId="0" applyNumberFormat="1" applyFont="1" applyBorder="1"/>
    <xf numFmtId="165" fontId="10" fillId="0" borderId="0" xfId="0" applyNumberFormat="1" applyFont="1"/>
    <xf numFmtId="165" fontId="18" fillId="0" borderId="0" xfId="1" applyFont="1" applyAlignment="1">
      <alignment horizontal="center"/>
    </xf>
    <xf numFmtId="0" fontId="2" fillId="2" borderId="0" xfId="0" applyFont="1" applyFill="1" applyAlignment="1">
      <alignment vertical="top"/>
    </xf>
    <xf numFmtId="0" fontId="0" fillId="0" borderId="0" xfId="0"/>
    <xf numFmtId="165" fontId="0" fillId="0" borderId="0" xfId="1" applyFont="1"/>
    <xf numFmtId="0" fontId="2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16" fillId="0" borderId="0" xfId="2" applyAlignment="1">
      <alignment horizontal="center"/>
    </xf>
  </cellXfs>
  <cellStyles count="3">
    <cellStyle name="Hyperlink" xfId="2" builtinId="8"/>
    <cellStyle name="Standaard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rendement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'Sparen &amp; Beleggen'!$E$1</c:f>
              <c:strCache>
                <c:ptCount val="1"/>
                <c:pt idx="0">
                  <c:v>Inleg totaal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'Sparen &amp; Beleggen'!$D$2:$D$6</c:f>
              <c:strCache>
                <c:ptCount val="5"/>
                <c:pt idx="0">
                  <c:v> Saldo na 10 jaar </c:v>
                </c:pt>
                <c:pt idx="1">
                  <c:v> Saldo na 20 jaar </c:v>
                </c:pt>
                <c:pt idx="2">
                  <c:v> Saldo na 30 jaar </c:v>
                </c:pt>
                <c:pt idx="3">
                  <c:v> Saldo na 40 jaar </c:v>
                </c:pt>
                <c:pt idx="4">
                  <c:v> Saldo na 50 jaar </c:v>
                </c:pt>
              </c:strCache>
            </c:strRef>
          </c:cat>
          <c:val>
            <c:numRef>
              <c:f>'Sparen &amp; Beleggen'!$E$2:$E$6</c:f>
              <c:numCache>
                <c:formatCode>_ "€"\ * #,##0.00_ ;_ "€"\ * \-#,##0.00_ ;_ "€"\ * "-"??_ ;_ @_ </c:formatCode>
                <c:ptCount val="5"/>
                <c:pt idx="0">
                  <c:v>60000</c:v>
                </c:pt>
                <c:pt idx="1">
                  <c:v>120000</c:v>
                </c:pt>
                <c:pt idx="2">
                  <c:v>180000</c:v>
                </c:pt>
                <c:pt idx="3">
                  <c:v>240000</c:v>
                </c:pt>
                <c:pt idx="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4-804C-BD3E-705177C4F651}"/>
            </c:ext>
          </c:extLst>
        </c:ser>
        <c:ser>
          <c:idx val="1"/>
          <c:order val="1"/>
          <c:tx>
            <c:strRef>
              <c:f>'Sparen &amp; Beleggen'!$F$1</c:f>
              <c:strCache>
                <c:ptCount val="1"/>
                <c:pt idx="0">
                  <c:v>Rendement totaal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'Sparen &amp; Beleggen'!$D$2:$D$6</c:f>
              <c:strCache>
                <c:ptCount val="5"/>
                <c:pt idx="0">
                  <c:v> Saldo na 10 jaar </c:v>
                </c:pt>
                <c:pt idx="1">
                  <c:v> Saldo na 20 jaar </c:v>
                </c:pt>
                <c:pt idx="2">
                  <c:v> Saldo na 30 jaar </c:v>
                </c:pt>
                <c:pt idx="3">
                  <c:v> Saldo na 40 jaar </c:v>
                </c:pt>
                <c:pt idx="4">
                  <c:v> Saldo na 50 jaar </c:v>
                </c:pt>
              </c:strCache>
            </c:strRef>
          </c:cat>
          <c:val>
            <c:numRef>
              <c:f>'Sparen &amp; Beleggen'!$F$2:$F$6</c:f>
              <c:numCache>
                <c:formatCode>_ "€"\ * #,##0.00_ ;_ "€"\ * \-#,##0.00_ ;_ "€"\ * "-"??_ ;_ @_ </c:formatCode>
                <c:ptCount val="5"/>
                <c:pt idx="0">
                  <c:v>15472.009197940908</c:v>
                </c:pt>
                <c:pt idx="1">
                  <c:v>78403.305467916594</c:v>
                </c:pt>
                <c:pt idx="2">
                  <c:v>218645.43342486571</c:v>
                </c:pt>
                <c:pt idx="3">
                  <c:v>484818.75970842096</c:v>
                </c:pt>
                <c:pt idx="4">
                  <c:v>956120.73828982958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4-804C-BD3E-705177C4F651}"/>
            </c:ext>
          </c:extLst>
        </c:ser>
        <c:ser>
          <c:idx val="2"/>
          <c:order val="2"/>
          <c:tx>
            <c:strRef>
              <c:f>'Sparen &amp; Beleggen'!$G$1</c:f>
              <c:strCache>
                <c:ptCount val="1"/>
                <c:pt idx="0">
                  <c:v>Eindsaldo totaal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'Sparen &amp; Beleggen'!$D$2:$D$6</c:f>
              <c:strCache>
                <c:ptCount val="5"/>
                <c:pt idx="0">
                  <c:v> Saldo na 10 jaar </c:v>
                </c:pt>
                <c:pt idx="1">
                  <c:v> Saldo na 20 jaar </c:v>
                </c:pt>
                <c:pt idx="2">
                  <c:v> Saldo na 30 jaar </c:v>
                </c:pt>
                <c:pt idx="3">
                  <c:v> Saldo na 40 jaar </c:v>
                </c:pt>
                <c:pt idx="4">
                  <c:v> Saldo na 50 jaar </c:v>
                </c:pt>
              </c:strCache>
            </c:strRef>
          </c:cat>
          <c:val>
            <c:numRef>
              <c:f>'Sparen &amp; Beleggen'!$G$2:$G$6</c:f>
              <c:numCache>
                <c:formatCode>_ "€"\ * #,##0.00_ ;_ "€"\ * \-#,##0.00_ ;_ "€"\ * "-"??_ ;_ @_ </c:formatCode>
                <c:ptCount val="5"/>
                <c:pt idx="0">
                  <c:v>75472.009197940919</c:v>
                </c:pt>
                <c:pt idx="1">
                  <c:v>198403.30546791659</c:v>
                </c:pt>
                <c:pt idx="2">
                  <c:v>398645.43342486571</c:v>
                </c:pt>
                <c:pt idx="3">
                  <c:v>724818.75970842096</c:v>
                </c:pt>
                <c:pt idx="4">
                  <c:v>1256120.7382898296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4-804C-BD3E-705177C4F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4804368"/>
        <c:axId val="1214807248"/>
      </c:barChart>
      <c:catAx>
        <c:axId val="121480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14807248"/>
        <c:crosses val="autoZero"/>
        <c:auto val="1"/>
        <c:lblAlgn val="ctr"/>
        <c:lblOffset val="100"/>
        <c:noMultiLvlLbl val="0"/>
      </c:catAx>
      <c:valAx>
        <c:axId val="121480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 &quot;€&quot;\ * #,##0.00_ ;_ &quot;€&quot;\ * \-#,##0.00_ ;_ &quot;€&quot;\ * &quot;-&quot;??_ ;_ @_ 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14804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11</xdr:row>
      <xdr:rowOff>152406</xdr:rowOff>
    </xdr:from>
    <xdr:to>
      <xdr:col>18</xdr:col>
      <xdr:colOff>579120</xdr:colOff>
      <xdr:row>35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B39" sqref="B39"/>
    </sheetView>
  </sheetViews>
  <sheetFormatPr defaultRowHeight="15" x14ac:dyDescent="0.2"/>
  <cols>
    <col min="1" max="1" width="55.01953125" style="33" customWidth="1"/>
    <col min="2" max="3" width="20.04296875" style="33" customWidth="1"/>
  </cols>
  <sheetData>
    <row r="1" spans="1:3" ht="18.75" x14ac:dyDescent="0.25">
      <c r="A1" s="38" t="s">
        <v>0</v>
      </c>
    </row>
    <row r="3" spans="1:3" x14ac:dyDescent="0.2">
      <c r="A3" s="39" t="s">
        <v>1</v>
      </c>
      <c r="B3" s="40"/>
      <c r="C3" s="40"/>
    </row>
    <row r="4" spans="1:3" x14ac:dyDescent="0.2">
      <c r="A4" s="41" t="s">
        <v>2</v>
      </c>
      <c r="B4" s="42">
        <f>Maandbegroting!D10</f>
        <v>5750</v>
      </c>
    </row>
    <row r="5" spans="1:3" x14ac:dyDescent="0.2">
      <c r="A5" s="41" t="s">
        <v>3</v>
      </c>
      <c r="B5" s="42">
        <f>Maandbegroting!D19+Maandbegroting!D25+Maandbegroting!D32</f>
        <v>1000</v>
      </c>
    </row>
    <row r="6" spans="1:3" x14ac:dyDescent="0.2">
      <c r="A6" s="41" t="s">
        <v>4</v>
      </c>
      <c r="B6" s="42">
        <f>Maandbegroting!D40+Maandbegroting!D45</f>
        <v>1225</v>
      </c>
    </row>
    <row r="7" spans="1:3" x14ac:dyDescent="0.2">
      <c r="A7" s="41" t="s">
        <v>5</v>
      </c>
      <c r="B7" s="42">
        <f>Maandbegroting!D50</f>
        <v>1100</v>
      </c>
    </row>
    <row r="8" spans="1:3" x14ac:dyDescent="0.2">
      <c r="A8" s="41" t="s">
        <v>6</v>
      </c>
      <c r="B8" s="42">
        <f>B5+B6+B7</f>
        <v>3325</v>
      </c>
    </row>
    <row r="9" spans="1:3" x14ac:dyDescent="0.2">
      <c r="A9" s="41" t="s">
        <v>7</v>
      </c>
      <c r="B9" s="42">
        <f>B4-B8</f>
        <v>2425</v>
      </c>
    </row>
    <row r="10" spans="1:3" x14ac:dyDescent="0.2">
      <c r="A10" s="41" t="s">
        <v>8</v>
      </c>
      <c r="B10" s="42">
        <f>B4-(B5+B6)</f>
        <v>3525</v>
      </c>
    </row>
    <row r="12" spans="1:3" x14ac:dyDescent="0.2">
      <c r="A12" s="39" t="s">
        <v>9</v>
      </c>
      <c r="B12" s="40"/>
      <c r="C12" s="40"/>
    </row>
    <row r="13" spans="1:3" x14ac:dyDescent="0.2">
      <c r="A13" s="41" t="s">
        <v>10</v>
      </c>
      <c r="B13" s="42">
        <f>'Verbouwing begroting'!F3</f>
        <v>56975</v>
      </c>
    </row>
    <row r="14" spans="1:3" x14ac:dyDescent="0.2">
      <c r="A14" s="41" t="s">
        <v>11</v>
      </c>
      <c r="B14" s="42">
        <f>'Inboedel begroting'!F3</f>
        <v>16900</v>
      </c>
    </row>
    <row r="15" spans="1:3" x14ac:dyDescent="0.2">
      <c r="A15" s="41" t="s">
        <v>12</v>
      </c>
      <c r="B15" s="42">
        <f>'Spaargeld + verbouwing'!C24</f>
        <v>73875</v>
      </c>
    </row>
    <row r="16" spans="1:3" x14ac:dyDescent="0.2">
      <c r="A16" s="41" t="s">
        <v>13</v>
      </c>
      <c r="B16" s="42">
        <f>'Spaargeld + verbouwing'!C26</f>
        <v>80875</v>
      </c>
    </row>
    <row r="17" spans="1:3" x14ac:dyDescent="0.2">
      <c r="A17" s="41" t="s">
        <v>14</v>
      </c>
      <c r="B17" s="42">
        <f>'Spaargeld + verbouwing'!C27</f>
        <v>40437.5</v>
      </c>
    </row>
    <row r="19" spans="1:3" x14ac:dyDescent="0.2">
      <c r="A19" s="39" t="s">
        <v>15</v>
      </c>
      <c r="B19" s="40"/>
      <c r="C19" s="40"/>
    </row>
    <row r="20" spans="1:3" x14ac:dyDescent="0.2">
      <c r="A20" s="41" t="s">
        <v>16</v>
      </c>
      <c r="B20" s="42">
        <f>'Spaargeld + verbouwing'!B13</f>
        <v>235000</v>
      </c>
    </row>
    <row r="21" spans="1:3" x14ac:dyDescent="0.2">
      <c r="A21" s="41" t="s">
        <v>17</v>
      </c>
      <c r="B21" s="42">
        <f>'Spaargeld + verbouwing'!C30</f>
        <v>34562.5</v>
      </c>
    </row>
    <row r="22" spans="1:3" x14ac:dyDescent="0.2">
      <c r="A22" s="41" t="s">
        <v>18</v>
      </c>
      <c r="B22" s="42">
        <f>'Spaargeld + verbouwing'!C31</f>
        <v>119562.5</v>
      </c>
    </row>
    <row r="23" spans="1:3" x14ac:dyDescent="0.2">
      <c r="A23" s="41" t="s">
        <v>19</v>
      </c>
      <c r="B23" s="42">
        <f>'Spaargeld + verbouwing'!C32</f>
        <v>154125</v>
      </c>
    </row>
    <row r="25" spans="1:3" x14ac:dyDescent="0.2">
      <c r="A25" s="39" t="s">
        <v>20</v>
      </c>
      <c r="B25" s="40"/>
      <c r="C25" s="40"/>
    </row>
    <row r="26" spans="1:3" x14ac:dyDescent="0.2">
      <c r="A26" s="41" t="s">
        <v>21</v>
      </c>
      <c r="B26">
        <f>'Verbouwing begroting'!J3</f>
        <v>40</v>
      </c>
    </row>
    <row r="27" spans="1:3" x14ac:dyDescent="0.2">
      <c r="A27" s="41" t="s">
        <v>22</v>
      </c>
      <c r="B27">
        <f>'Verbouwing begroting'!J4</f>
        <v>20</v>
      </c>
    </row>
    <row r="28" spans="1:3" x14ac:dyDescent="0.2">
      <c r="A28" s="41" t="s">
        <v>23</v>
      </c>
      <c r="B28">
        <f>'Verbouwing begroting'!J5</f>
        <v>60</v>
      </c>
    </row>
    <row r="29" spans="1:3" x14ac:dyDescent="0.2">
      <c r="A29" s="41" t="s">
        <v>24</v>
      </c>
      <c r="B29">
        <f>'Verbouwing begroting'!J6</f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K1" workbookViewId="0">
      <pane ySplit="2" topLeftCell="K3" activePane="bottomLeft" state="frozen"/>
      <selection activeCell="G1" sqref="G1"/>
      <selection pane="bottomLeft" activeCell="K7" sqref="K7"/>
    </sheetView>
  </sheetViews>
  <sheetFormatPr defaultRowHeight="15" x14ac:dyDescent="0.2"/>
  <cols>
    <col min="1" max="1" width="25.01953125" style="33" customWidth="1"/>
    <col min="2" max="2" width="39.953125" style="33" customWidth="1"/>
    <col min="3" max="3" width="18.0234375" style="33" customWidth="1"/>
    <col min="4" max="4" width="11.97265625" style="43" customWidth="1"/>
    <col min="7" max="7" width="31.609375" style="33" bestFit="1" customWidth="1"/>
    <col min="8" max="9" width="11.296875" style="33" bestFit="1" customWidth="1"/>
    <col min="10" max="10" width="28.3828125" style="33" bestFit="1" customWidth="1"/>
    <col min="11" max="11" width="23.26953125" style="33" bestFit="1" customWidth="1"/>
    <col min="12" max="12" width="9.28125" style="33" bestFit="1" customWidth="1"/>
    <col min="13" max="13" width="11.296875" style="33" bestFit="1" customWidth="1"/>
  </cols>
  <sheetData>
    <row r="1" spans="1:13" ht="18.75" customHeight="1" x14ac:dyDescent="0.25">
      <c r="A1" s="1" t="s">
        <v>25</v>
      </c>
      <c r="C1" s="42"/>
    </row>
    <row r="2" spans="1:13" x14ac:dyDescent="0.2">
      <c r="A2" s="92" t="s">
        <v>26</v>
      </c>
      <c r="B2" s="93"/>
      <c r="C2" s="93"/>
      <c r="D2" s="94"/>
    </row>
    <row r="3" spans="1:13" x14ac:dyDescent="0.2">
      <c r="A3" s="37" t="s">
        <v>27</v>
      </c>
      <c r="B3" s="25" t="s">
        <v>28</v>
      </c>
      <c r="C3" s="44"/>
      <c r="D3" s="45">
        <v>2700</v>
      </c>
      <c r="G3" s="96" t="s">
        <v>29</v>
      </c>
      <c r="H3" s="93"/>
      <c r="I3" s="93"/>
      <c r="J3" s="93"/>
    </row>
    <row r="4" spans="1:13" x14ac:dyDescent="0.2">
      <c r="A4" s="24"/>
      <c r="B4" s="26" t="s">
        <v>30</v>
      </c>
      <c r="C4" s="46"/>
      <c r="D4" s="47">
        <f>D3/12</f>
        <v>225</v>
      </c>
    </row>
    <row r="5" spans="1:13" x14ac:dyDescent="0.2">
      <c r="A5" s="24"/>
      <c r="B5" s="26" t="s">
        <v>31</v>
      </c>
      <c r="C5" s="46"/>
      <c r="D5" s="47">
        <f>D3/12</f>
        <v>225</v>
      </c>
    </row>
    <row r="6" spans="1:13" x14ac:dyDescent="0.2">
      <c r="A6" s="2"/>
      <c r="B6" s="2" t="s">
        <v>32</v>
      </c>
      <c r="C6" s="48"/>
      <c r="D6" s="49">
        <v>2700</v>
      </c>
      <c r="I6" s="42"/>
    </row>
    <row r="7" spans="1:13" x14ac:dyDescent="0.2">
      <c r="A7" s="2"/>
      <c r="B7" s="2" t="s">
        <v>33</v>
      </c>
      <c r="C7" s="48"/>
      <c r="D7" s="49">
        <v>350</v>
      </c>
      <c r="G7" s="3" t="s">
        <v>34</v>
      </c>
      <c r="I7" s="43">
        <f>D10</f>
        <v>5750</v>
      </c>
      <c r="K7" s="3" t="s">
        <v>35</v>
      </c>
      <c r="L7" t="s">
        <v>28</v>
      </c>
      <c r="M7" s="50">
        <v>5000</v>
      </c>
    </row>
    <row r="8" spans="1:13" x14ac:dyDescent="0.2">
      <c r="A8" s="2"/>
      <c r="B8" s="27" t="s">
        <v>30</v>
      </c>
      <c r="C8" s="51"/>
      <c r="D8" s="52">
        <f>D5</f>
        <v>225</v>
      </c>
      <c r="G8" s="3"/>
      <c r="I8" s="43"/>
      <c r="K8" s="3" t="s">
        <v>36</v>
      </c>
      <c r="L8" t="s">
        <v>37</v>
      </c>
      <c r="M8" s="50">
        <v>5000</v>
      </c>
    </row>
    <row r="9" spans="1:13" x14ac:dyDescent="0.2">
      <c r="A9" s="2"/>
      <c r="B9" s="27" t="s">
        <v>31</v>
      </c>
      <c r="C9" s="51"/>
      <c r="D9" s="52">
        <f>D4</f>
        <v>225</v>
      </c>
      <c r="G9" s="3"/>
      <c r="I9" s="43"/>
      <c r="K9" s="3" t="s">
        <v>38</v>
      </c>
      <c r="M9" s="43">
        <v>1000</v>
      </c>
    </row>
    <row r="10" spans="1:13" x14ac:dyDescent="0.2">
      <c r="A10" s="37"/>
      <c r="B10" s="37" t="s">
        <v>39</v>
      </c>
      <c r="C10" s="53"/>
      <c r="D10" s="54">
        <f>SUM(D3:D9)-D4-D5-D8-D9</f>
        <v>5750</v>
      </c>
      <c r="G10" s="3" t="s">
        <v>40</v>
      </c>
      <c r="I10" s="43">
        <f>D18+D32+D25</f>
        <v>3075</v>
      </c>
    </row>
    <row r="11" spans="1:13" x14ac:dyDescent="0.2">
      <c r="A11" s="2"/>
      <c r="B11" s="2"/>
      <c r="C11" s="48"/>
      <c r="D11" s="49"/>
      <c r="G11" s="3" t="s">
        <v>41</v>
      </c>
      <c r="I11" s="43">
        <f>D40+D45</f>
        <v>1225</v>
      </c>
      <c r="K11" s="3" t="s">
        <v>42</v>
      </c>
      <c r="M11" s="50">
        <f>M7+M8+M9</f>
        <v>11000</v>
      </c>
    </row>
    <row r="12" spans="1:13" x14ac:dyDescent="0.2">
      <c r="A12" s="95" t="s">
        <v>43</v>
      </c>
      <c r="B12" s="93"/>
      <c r="C12" s="93"/>
      <c r="D12" s="94"/>
      <c r="G12" s="3" t="s">
        <v>44</v>
      </c>
      <c r="I12" s="43">
        <f>I7-I10-I11</f>
        <v>1450</v>
      </c>
      <c r="K12" s="3" t="s">
        <v>45</v>
      </c>
      <c r="M12" s="50">
        <f>M11/12</f>
        <v>916.66666666666663</v>
      </c>
    </row>
    <row r="13" spans="1:13" x14ac:dyDescent="0.2">
      <c r="A13" s="37" t="s">
        <v>46</v>
      </c>
      <c r="B13" s="16" t="s">
        <v>47</v>
      </c>
      <c r="C13" s="55"/>
      <c r="D13" s="56">
        <v>1600</v>
      </c>
      <c r="G13" s="3"/>
    </row>
    <row r="14" spans="1:13" x14ac:dyDescent="0.2">
      <c r="A14" s="2"/>
      <c r="B14" s="2" t="s">
        <v>48</v>
      </c>
      <c r="C14" s="48"/>
      <c r="D14" s="49">
        <v>200</v>
      </c>
      <c r="G14" s="3" t="s">
        <v>49</v>
      </c>
      <c r="I14" s="50">
        <f>D50</f>
        <v>1100</v>
      </c>
    </row>
    <row r="15" spans="1:13" x14ac:dyDescent="0.2">
      <c r="A15" s="2"/>
      <c r="B15" s="2" t="s">
        <v>50</v>
      </c>
      <c r="C15" s="48"/>
      <c r="D15" s="49">
        <v>150</v>
      </c>
      <c r="J15" s="28" t="s">
        <v>51</v>
      </c>
    </row>
    <row r="16" spans="1:13" x14ac:dyDescent="0.2">
      <c r="A16" s="2"/>
      <c r="B16" s="2" t="s">
        <v>52</v>
      </c>
      <c r="C16" s="48"/>
      <c r="D16" s="49">
        <v>25</v>
      </c>
      <c r="E16" s="19"/>
      <c r="G16" s="3" t="s">
        <v>53</v>
      </c>
      <c r="I16" s="50">
        <f>I12-I14</f>
        <v>350</v>
      </c>
      <c r="J16" s="57">
        <f>I16+M12</f>
        <v>1266.6666666666665</v>
      </c>
    </row>
    <row r="17" spans="1:8" x14ac:dyDescent="0.2">
      <c r="A17" s="2"/>
      <c r="B17" s="2" t="s">
        <v>54</v>
      </c>
      <c r="C17" s="48"/>
      <c r="D17" s="49">
        <v>100</v>
      </c>
      <c r="E17" s="19"/>
    </row>
    <row r="18" spans="1:8" x14ac:dyDescent="0.2">
      <c r="A18" s="2"/>
      <c r="B18" s="37" t="s">
        <v>55</v>
      </c>
      <c r="C18" s="53"/>
      <c r="D18" s="58">
        <f>SUM(D13:D17)</f>
        <v>2075</v>
      </c>
      <c r="E18" s="19"/>
    </row>
    <row r="19" spans="1:8" x14ac:dyDescent="0.2">
      <c r="A19" s="2"/>
      <c r="B19" s="18"/>
      <c r="C19" s="59"/>
      <c r="D19" s="60"/>
      <c r="E19" s="19"/>
      <c r="G19" t="s">
        <v>56</v>
      </c>
      <c r="H19" s="50">
        <f>M7+12*D3</f>
        <v>37400</v>
      </c>
    </row>
    <row r="20" spans="1:8" ht="15" customHeight="1" x14ac:dyDescent="0.2">
      <c r="A20" s="37" t="s">
        <v>57</v>
      </c>
      <c r="B20" s="37"/>
      <c r="C20" s="53"/>
      <c r="D20" s="54"/>
      <c r="E20" s="19"/>
      <c r="G20" t="s">
        <v>58</v>
      </c>
      <c r="H20" s="50">
        <f>M8+M9+12*D6</f>
        <v>38400</v>
      </c>
    </row>
    <row r="21" spans="1:8" x14ac:dyDescent="0.2">
      <c r="A21" s="2"/>
      <c r="B21" s="2" t="s">
        <v>59</v>
      </c>
      <c r="C21" s="48"/>
      <c r="D21" s="49">
        <v>20</v>
      </c>
      <c r="E21" s="19"/>
      <c r="H21" s="61">
        <f>SUM(H19:H20)</f>
        <v>75800</v>
      </c>
    </row>
    <row r="22" spans="1:8" x14ac:dyDescent="0.2">
      <c r="A22" s="2"/>
      <c r="B22" s="2" t="s">
        <v>60</v>
      </c>
      <c r="C22" s="48"/>
      <c r="D22" s="49">
        <v>150</v>
      </c>
      <c r="E22" s="19"/>
    </row>
    <row r="23" spans="1:8" x14ac:dyDescent="0.2">
      <c r="A23" s="2"/>
      <c r="B23" s="2" t="s">
        <v>61</v>
      </c>
      <c r="C23" s="48"/>
      <c r="D23" s="49">
        <v>150</v>
      </c>
      <c r="G23" t="s">
        <v>62</v>
      </c>
      <c r="H23" s="50">
        <f>(I11+I10)*12</f>
        <v>51600</v>
      </c>
    </row>
    <row r="24" spans="1:8" x14ac:dyDescent="0.2">
      <c r="A24" s="2"/>
      <c r="B24" s="2" t="s">
        <v>63</v>
      </c>
      <c r="C24" s="48"/>
      <c r="D24" s="49">
        <v>30</v>
      </c>
    </row>
    <row r="25" spans="1:8" x14ac:dyDescent="0.2">
      <c r="A25" s="2"/>
      <c r="B25" s="37" t="s">
        <v>64</v>
      </c>
      <c r="C25" s="53"/>
      <c r="D25" s="58">
        <f>SUM(D20:D24)</f>
        <v>350</v>
      </c>
      <c r="G25" t="s">
        <v>65</v>
      </c>
      <c r="H25" s="50">
        <f>H21-H23</f>
        <v>24200</v>
      </c>
    </row>
    <row r="26" spans="1:8" x14ac:dyDescent="0.2">
      <c r="A26" s="2"/>
      <c r="B26" s="18"/>
      <c r="C26" s="59"/>
      <c r="D26" s="60"/>
    </row>
    <row r="27" spans="1:8" ht="15" customHeight="1" x14ac:dyDescent="0.2">
      <c r="A27" s="37" t="s">
        <v>66</v>
      </c>
      <c r="B27" s="37" t="s">
        <v>67</v>
      </c>
      <c r="C27" s="53"/>
      <c r="D27" s="54" t="s">
        <v>68</v>
      </c>
    </row>
    <row r="28" spans="1:8" x14ac:dyDescent="0.2">
      <c r="A28" s="2"/>
      <c r="B28" s="2" t="s">
        <v>69</v>
      </c>
      <c r="C28" s="48"/>
      <c r="D28" s="49">
        <v>100</v>
      </c>
    </row>
    <row r="29" spans="1:8" x14ac:dyDescent="0.2">
      <c r="A29" s="2"/>
      <c r="B29" s="2" t="s">
        <v>67</v>
      </c>
      <c r="C29" s="48"/>
      <c r="D29" s="49">
        <v>100</v>
      </c>
    </row>
    <row r="30" spans="1:8" x14ac:dyDescent="0.2">
      <c r="A30" s="2"/>
      <c r="B30" s="2" t="s">
        <v>70</v>
      </c>
      <c r="C30" s="48"/>
      <c r="D30" s="49">
        <v>300</v>
      </c>
    </row>
    <row r="31" spans="1:8" x14ac:dyDescent="0.2">
      <c r="A31" s="2"/>
      <c r="B31" s="2" t="s">
        <v>71</v>
      </c>
      <c r="C31" s="48"/>
      <c r="D31" s="49">
        <v>150</v>
      </c>
    </row>
    <row r="32" spans="1:8" x14ac:dyDescent="0.2">
      <c r="A32" s="2"/>
      <c r="B32" s="20" t="s">
        <v>72</v>
      </c>
      <c r="C32" s="62"/>
      <c r="D32" s="63">
        <f>SUM(D28:D31)</f>
        <v>650</v>
      </c>
    </row>
    <row r="33" spans="1:4" x14ac:dyDescent="0.2">
      <c r="A33" s="2"/>
      <c r="B33" s="17"/>
      <c r="C33" s="48"/>
      <c r="D33" s="64"/>
    </row>
    <row r="34" spans="1:4" x14ac:dyDescent="0.2">
      <c r="A34" s="95" t="s">
        <v>73</v>
      </c>
      <c r="B34" s="93"/>
      <c r="C34" s="93"/>
      <c r="D34" s="94"/>
    </row>
    <row r="35" spans="1:4" x14ac:dyDescent="0.2">
      <c r="A35" s="37" t="s">
        <v>74</v>
      </c>
      <c r="B35" s="16" t="s">
        <v>75</v>
      </c>
      <c r="C35" s="53"/>
      <c r="D35" s="56">
        <v>500</v>
      </c>
    </row>
    <row r="36" spans="1:4" x14ac:dyDescent="0.2">
      <c r="A36" s="37" t="s">
        <v>76</v>
      </c>
      <c r="B36" s="55" t="s">
        <v>77</v>
      </c>
      <c r="C36" s="53"/>
      <c r="D36" s="56">
        <v>50</v>
      </c>
    </row>
    <row r="37" spans="1:4" x14ac:dyDescent="0.2">
      <c r="A37" s="37" t="s">
        <v>78</v>
      </c>
      <c r="B37" s="21" t="s">
        <v>79</v>
      </c>
      <c r="C37" s="53"/>
      <c r="D37" s="56">
        <v>100</v>
      </c>
    </row>
    <row r="38" spans="1:4" x14ac:dyDescent="0.2">
      <c r="A38" s="2"/>
      <c r="B38" s="22" t="s">
        <v>80</v>
      </c>
      <c r="C38" s="48"/>
      <c r="D38" s="49">
        <v>100</v>
      </c>
    </row>
    <row r="39" spans="1:4" x14ac:dyDescent="0.2">
      <c r="A39" s="2"/>
      <c r="B39" s="2" t="s">
        <v>81</v>
      </c>
      <c r="C39" s="48"/>
      <c r="D39" s="49">
        <v>75</v>
      </c>
    </row>
    <row r="40" spans="1:4" x14ac:dyDescent="0.2">
      <c r="A40" s="2"/>
      <c r="B40" s="20" t="s">
        <v>82</v>
      </c>
      <c r="C40" s="62"/>
      <c r="D40" s="63">
        <f>SUM(D35:D39)</f>
        <v>825</v>
      </c>
    </row>
    <row r="41" spans="1:4" x14ac:dyDescent="0.2">
      <c r="A41" s="2"/>
      <c r="B41" s="23"/>
      <c r="C41" s="65"/>
      <c r="D41" s="66"/>
    </row>
    <row r="42" spans="1:4" x14ac:dyDescent="0.2">
      <c r="A42" s="37" t="s">
        <v>83</v>
      </c>
      <c r="B42" s="16" t="s">
        <v>84</v>
      </c>
      <c r="C42" s="55"/>
      <c r="D42" s="56">
        <v>200</v>
      </c>
    </row>
    <row r="43" spans="1:4" x14ac:dyDescent="0.2">
      <c r="A43" s="2"/>
      <c r="B43" s="2" t="s">
        <v>85</v>
      </c>
      <c r="C43" s="48"/>
      <c r="D43" s="49">
        <v>50</v>
      </c>
    </row>
    <row r="44" spans="1:4" x14ac:dyDescent="0.2">
      <c r="A44" s="2"/>
      <c r="B44" s="2" t="s">
        <v>86</v>
      </c>
      <c r="C44" s="48"/>
      <c r="D44" s="49">
        <v>150</v>
      </c>
    </row>
    <row r="45" spans="1:4" x14ac:dyDescent="0.2">
      <c r="A45" s="2"/>
      <c r="B45" s="20" t="s">
        <v>87</v>
      </c>
      <c r="C45" s="62"/>
      <c r="D45" s="63">
        <f>SUM(D42:D44)</f>
        <v>400</v>
      </c>
    </row>
    <row r="46" spans="1:4" x14ac:dyDescent="0.2">
      <c r="A46" s="2"/>
      <c r="B46" s="23"/>
      <c r="C46" s="65"/>
      <c r="D46" s="66"/>
    </row>
    <row r="47" spans="1:4" x14ac:dyDescent="0.2">
      <c r="A47" s="37" t="s">
        <v>88</v>
      </c>
      <c r="B47" s="16" t="s">
        <v>89</v>
      </c>
      <c r="C47" s="55"/>
      <c r="D47" s="56">
        <v>300</v>
      </c>
    </row>
    <row r="48" spans="1:4" x14ac:dyDescent="0.2">
      <c r="B48" t="s">
        <v>90</v>
      </c>
      <c r="C48" s="42"/>
      <c r="D48" s="43">
        <v>300</v>
      </c>
    </row>
    <row r="49" spans="2:4" x14ac:dyDescent="0.2">
      <c r="B49" t="s">
        <v>91</v>
      </c>
      <c r="C49" s="42"/>
      <c r="D49" s="43">
        <v>500</v>
      </c>
    </row>
    <row r="50" spans="2:4" x14ac:dyDescent="0.2">
      <c r="C50" s="42"/>
      <c r="D50" s="67">
        <f>SUM(D47:D49)</f>
        <v>1100</v>
      </c>
    </row>
  </sheetData>
  <mergeCells count="4">
    <mergeCell ref="A2:D2"/>
    <mergeCell ref="A12:D12"/>
    <mergeCell ref="A34:D34"/>
    <mergeCell ref="G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>
      <selection activeCell="D10" sqref="D10"/>
    </sheetView>
  </sheetViews>
  <sheetFormatPr defaultRowHeight="15" x14ac:dyDescent="0.2"/>
  <cols>
    <col min="1" max="1" width="21.1171875" style="33" bestFit="1" customWidth="1"/>
    <col min="2" max="3" width="12.375" style="33" bestFit="1" customWidth="1"/>
    <col min="4" max="4" width="17.890625" style="33" bestFit="1" customWidth="1"/>
    <col min="6" max="6" width="12.375" style="33" bestFit="1" customWidth="1"/>
  </cols>
  <sheetData>
    <row r="1" spans="1:7" x14ac:dyDescent="0.2">
      <c r="A1" s="97" t="s">
        <v>37</v>
      </c>
      <c r="B1" s="93"/>
      <c r="C1" s="93"/>
      <c r="E1" s="97" t="s">
        <v>28</v>
      </c>
      <c r="F1" s="93"/>
      <c r="G1" s="93"/>
    </row>
    <row r="3" spans="1:7" x14ac:dyDescent="0.2">
      <c r="A3" t="s">
        <v>92</v>
      </c>
      <c r="B3" s="43">
        <v>15000</v>
      </c>
      <c r="D3" t="s">
        <v>92</v>
      </c>
      <c r="F3" s="43">
        <v>10000</v>
      </c>
    </row>
    <row r="4" spans="1:7" x14ac:dyDescent="0.2">
      <c r="A4" t="s">
        <v>93</v>
      </c>
      <c r="B4" s="43">
        <v>15000</v>
      </c>
      <c r="D4" t="s">
        <v>93</v>
      </c>
      <c r="F4" s="43">
        <v>150000</v>
      </c>
    </row>
    <row r="5" spans="1:7" x14ac:dyDescent="0.2">
      <c r="A5" t="s">
        <v>94</v>
      </c>
      <c r="B5" s="43">
        <v>45000</v>
      </c>
      <c r="D5" t="s">
        <v>94</v>
      </c>
      <c r="F5" s="43">
        <v>0</v>
      </c>
    </row>
    <row r="7" spans="1:7" x14ac:dyDescent="0.2">
      <c r="A7" t="s">
        <v>95</v>
      </c>
      <c r="B7" s="50">
        <f>SUM(B3:B6)</f>
        <v>75000</v>
      </c>
      <c r="F7" s="50">
        <f>SUM(F3:F6)</f>
        <v>160000</v>
      </c>
    </row>
    <row r="10" spans="1:7" x14ac:dyDescent="0.2">
      <c r="A10" s="28" t="s">
        <v>96</v>
      </c>
    </row>
    <row r="11" spans="1:7" x14ac:dyDescent="0.2">
      <c r="A11" t="s">
        <v>97</v>
      </c>
      <c r="B11" s="50">
        <f>B3+B4+F3+F4</f>
        <v>190000</v>
      </c>
    </row>
    <row r="12" spans="1:7" x14ac:dyDescent="0.2">
      <c r="A12" t="s">
        <v>94</v>
      </c>
      <c r="B12" s="50">
        <f>B5</f>
        <v>45000</v>
      </c>
    </row>
    <row r="13" spans="1:7" x14ac:dyDescent="0.2">
      <c r="B13" s="68">
        <f>SUM(B11:B12)</f>
        <v>235000</v>
      </c>
    </row>
    <row r="15" spans="1:7" x14ac:dyDescent="0.2">
      <c r="A15" s="98" t="s">
        <v>98</v>
      </c>
      <c r="B15" s="93"/>
      <c r="C15" s="93"/>
      <c r="D15" s="93"/>
      <c r="E15" s="93"/>
      <c r="F15" s="93"/>
    </row>
    <row r="17" spans="1:3" x14ac:dyDescent="0.2">
      <c r="A17" t="s">
        <v>99</v>
      </c>
      <c r="C17" s="43">
        <v>2100</v>
      </c>
    </row>
    <row r="18" spans="1:3" x14ac:dyDescent="0.2">
      <c r="A18" t="s">
        <v>100</v>
      </c>
      <c r="C18" s="43">
        <v>3400</v>
      </c>
    </row>
    <row r="19" spans="1:3" x14ac:dyDescent="0.2">
      <c r="A19" t="s">
        <v>101</v>
      </c>
      <c r="C19" s="43">
        <v>1500</v>
      </c>
    </row>
    <row r="20" spans="1:3" x14ac:dyDescent="0.2">
      <c r="A20" s="28" t="s">
        <v>102</v>
      </c>
      <c r="C20" s="69">
        <f>C17+C18+C19</f>
        <v>7000</v>
      </c>
    </row>
    <row r="21" spans="1:3" x14ac:dyDescent="0.2">
      <c r="B21" s="43"/>
    </row>
    <row r="22" spans="1:3" x14ac:dyDescent="0.2">
      <c r="A22" t="s">
        <v>103</v>
      </c>
      <c r="B22" s="43"/>
      <c r="C22" s="43">
        <f>'Verbouwing begroting'!F3</f>
        <v>56975</v>
      </c>
    </row>
    <row r="23" spans="1:3" x14ac:dyDescent="0.2">
      <c r="A23" t="s">
        <v>104</v>
      </c>
      <c r="B23" s="43"/>
      <c r="C23" s="43">
        <f>'Inboedel begroting'!F3</f>
        <v>16900</v>
      </c>
    </row>
    <row r="24" spans="1:3" x14ac:dyDescent="0.2">
      <c r="A24" s="69" t="s">
        <v>105</v>
      </c>
      <c r="C24" s="70">
        <f>SUM(C22:C23)</f>
        <v>73875</v>
      </c>
    </row>
    <row r="25" spans="1:3" x14ac:dyDescent="0.2">
      <c r="B25" s="43"/>
    </row>
    <row r="26" spans="1:3" x14ac:dyDescent="0.2">
      <c r="A26" t="s">
        <v>106</v>
      </c>
      <c r="B26" s="43"/>
      <c r="C26" s="71">
        <f>C20+C24</f>
        <v>80875</v>
      </c>
    </row>
    <row r="27" spans="1:3" x14ac:dyDescent="0.2">
      <c r="A27" t="s">
        <v>107</v>
      </c>
      <c r="B27" s="43"/>
      <c r="C27" s="71">
        <f>C26/2</f>
        <v>40437.5</v>
      </c>
    </row>
    <row r="28" spans="1:3" x14ac:dyDescent="0.2">
      <c r="B28" s="43"/>
    </row>
    <row r="29" spans="1:3" x14ac:dyDescent="0.2">
      <c r="A29" t="s">
        <v>108</v>
      </c>
      <c r="B29" s="43"/>
    </row>
    <row r="30" spans="1:3" x14ac:dyDescent="0.2">
      <c r="A30" t="s">
        <v>37</v>
      </c>
      <c r="B30" s="43"/>
      <c r="C30" s="50">
        <f>B7-C27</f>
        <v>34562.5</v>
      </c>
    </row>
    <row r="31" spans="1:3" x14ac:dyDescent="0.2">
      <c r="A31" t="s">
        <v>28</v>
      </c>
      <c r="B31" s="43"/>
      <c r="C31" s="50">
        <f>F7-C27</f>
        <v>119562.5</v>
      </c>
    </row>
    <row r="32" spans="1:3" x14ac:dyDescent="0.2">
      <c r="B32" s="43" t="s">
        <v>109</v>
      </c>
      <c r="C32" s="68">
        <f>SUM(C30:C31)</f>
        <v>154125</v>
      </c>
    </row>
    <row r="33" spans="2:2" x14ac:dyDescent="0.2">
      <c r="B33" s="43"/>
    </row>
    <row r="34" spans="2:2" x14ac:dyDescent="0.2">
      <c r="B34" s="43"/>
    </row>
  </sheetData>
  <mergeCells count="3">
    <mergeCell ref="A1:C1"/>
    <mergeCell ref="E1:G1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workbookViewId="0">
      <selection activeCell="F3" sqref="F3"/>
    </sheetView>
  </sheetViews>
  <sheetFormatPr defaultRowHeight="15" x14ac:dyDescent="0.2"/>
  <cols>
    <col min="1" max="1" width="42.375" style="33" bestFit="1" customWidth="1"/>
    <col min="2" max="2" width="50.984375" style="33" bestFit="1" customWidth="1"/>
    <col min="3" max="3" width="7.26171875" style="33" bestFit="1" customWidth="1"/>
    <col min="4" max="4" width="8.609375" style="33" bestFit="1" customWidth="1"/>
    <col min="5" max="5" width="22.8671875" style="33" bestFit="1" customWidth="1"/>
    <col min="6" max="6" width="13.71875" style="33" bestFit="1" customWidth="1"/>
    <col min="7" max="7" width="62.6875" style="33" bestFit="1" customWidth="1"/>
  </cols>
  <sheetData>
    <row r="1" spans="1:10" ht="18.75" customHeight="1" x14ac:dyDescent="0.25">
      <c r="A1" s="1" t="s">
        <v>110</v>
      </c>
      <c r="I1" s="38" t="s">
        <v>111</v>
      </c>
    </row>
    <row r="2" spans="1:10" x14ac:dyDescent="0.2">
      <c r="A2" s="29" t="s">
        <v>112</v>
      </c>
      <c r="B2" s="29" t="s">
        <v>113</v>
      </c>
      <c r="C2" s="29" t="s">
        <v>114</v>
      </c>
      <c r="D2" s="29" t="s">
        <v>115</v>
      </c>
      <c r="E2" s="29" t="s">
        <v>116</v>
      </c>
      <c r="F2" s="29" t="s">
        <v>117</v>
      </c>
      <c r="G2" s="29" t="s">
        <v>118</v>
      </c>
    </row>
    <row r="3" spans="1:10" x14ac:dyDescent="0.2">
      <c r="A3" s="34" t="s">
        <v>119</v>
      </c>
      <c r="B3" s="34"/>
      <c r="C3" s="34"/>
      <c r="D3" s="34"/>
      <c r="E3" s="34"/>
      <c r="F3" s="35">
        <f>F11+F16+F22+F27+F33+F38</f>
        <v>56975</v>
      </c>
      <c r="G3" s="34"/>
      <c r="I3" s="41" t="s">
        <v>21</v>
      </c>
      <c r="J3" s="72">
        <v>40</v>
      </c>
    </row>
    <row r="4" spans="1:10" x14ac:dyDescent="0.2">
      <c r="A4" s="30" t="s">
        <v>120</v>
      </c>
      <c r="B4" s="31"/>
      <c r="C4" s="31"/>
      <c r="D4" s="31"/>
      <c r="E4" s="31"/>
      <c r="F4" s="31"/>
      <c r="G4" s="31"/>
      <c r="I4" s="41" t="s">
        <v>22</v>
      </c>
      <c r="J4" s="72">
        <v>20</v>
      </c>
    </row>
    <row r="5" spans="1:10" x14ac:dyDescent="0.2">
      <c r="A5" s="32"/>
      <c r="B5" s="32" t="s">
        <v>121</v>
      </c>
      <c r="C5" s="32">
        <f>J4</f>
        <v>20</v>
      </c>
      <c r="D5" s="32" t="s">
        <v>122</v>
      </c>
      <c r="E5" s="73">
        <v>500</v>
      </c>
      <c r="F5" s="73">
        <f>C5*E5</f>
        <v>10000</v>
      </c>
      <c r="G5" s="32"/>
      <c r="I5" s="41" t="s">
        <v>123</v>
      </c>
      <c r="J5" s="72">
        <f>J3+J4</f>
        <v>60</v>
      </c>
    </row>
    <row r="6" spans="1:10" x14ac:dyDescent="0.2">
      <c r="A6" s="32"/>
      <c r="B6" s="32" t="s">
        <v>124</v>
      </c>
      <c r="C6" s="32">
        <v>1</v>
      </c>
      <c r="D6" s="32" t="s">
        <v>125</v>
      </c>
      <c r="E6" s="73">
        <v>1000</v>
      </c>
      <c r="F6" s="73">
        <f>C6*E6</f>
        <v>1000</v>
      </c>
      <c r="G6" s="32"/>
      <c r="I6" s="41" t="s">
        <v>126</v>
      </c>
      <c r="J6" s="72">
        <f>J5</f>
        <v>60</v>
      </c>
    </row>
    <row r="7" spans="1:10" x14ac:dyDescent="0.2">
      <c r="A7" s="32"/>
      <c r="B7" s="32" t="s">
        <v>127</v>
      </c>
      <c r="C7" s="32">
        <v>1</v>
      </c>
      <c r="D7" s="32" t="s">
        <v>128</v>
      </c>
      <c r="E7" s="73">
        <v>2500</v>
      </c>
      <c r="F7" s="73">
        <f>C7*E7</f>
        <v>2500</v>
      </c>
      <c r="G7" s="32"/>
    </row>
    <row r="8" spans="1:10" x14ac:dyDescent="0.2">
      <c r="A8" s="32"/>
      <c r="B8" s="32" t="s">
        <v>129</v>
      </c>
      <c r="C8" s="32">
        <v>1</v>
      </c>
      <c r="D8" s="32" t="s">
        <v>125</v>
      </c>
      <c r="E8" s="73">
        <v>500</v>
      </c>
      <c r="F8" s="73">
        <f>C8*E8</f>
        <v>500</v>
      </c>
      <c r="G8" s="32"/>
    </row>
    <row r="9" spans="1:10" x14ac:dyDescent="0.2">
      <c r="A9" s="32"/>
      <c r="B9" s="32" t="s">
        <v>130</v>
      </c>
      <c r="C9" s="32">
        <v>1</v>
      </c>
      <c r="D9" s="32" t="s">
        <v>125</v>
      </c>
      <c r="E9" s="73">
        <v>1000</v>
      </c>
      <c r="F9" s="73">
        <f>C9*E9</f>
        <v>1000</v>
      </c>
      <c r="G9" s="32"/>
    </row>
    <row r="10" spans="1:10" x14ac:dyDescent="0.2">
      <c r="A10" s="32"/>
      <c r="B10" s="32" t="s">
        <v>131</v>
      </c>
      <c r="C10" s="32">
        <f>J4</f>
        <v>20</v>
      </c>
      <c r="D10" s="32" t="s">
        <v>122</v>
      </c>
      <c r="E10" s="73">
        <v>50</v>
      </c>
      <c r="F10" s="73">
        <f>C10*E10</f>
        <v>1000</v>
      </c>
      <c r="G10" s="32"/>
    </row>
    <row r="11" spans="1:10" x14ac:dyDescent="0.2">
      <c r="A11" s="32"/>
      <c r="E11" s="74" t="s">
        <v>132</v>
      </c>
      <c r="F11" s="74">
        <f>SUM(F5:F10)</f>
        <v>16000</v>
      </c>
      <c r="G11" s="32"/>
    </row>
    <row r="12" spans="1:10" x14ac:dyDescent="0.2">
      <c r="A12" s="30" t="s">
        <v>133</v>
      </c>
      <c r="B12" s="31"/>
      <c r="C12" s="31"/>
      <c r="D12" s="31"/>
      <c r="E12" s="75"/>
      <c r="F12" s="75"/>
      <c r="G12" s="31"/>
    </row>
    <row r="13" spans="1:10" x14ac:dyDescent="0.2">
      <c r="A13" s="32"/>
      <c r="B13" s="32" t="s">
        <v>134</v>
      </c>
      <c r="C13" s="32">
        <f>J5</f>
        <v>60</v>
      </c>
      <c r="D13" s="32" t="s">
        <v>122</v>
      </c>
      <c r="E13" s="73">
        <v>50</v>
      </c>
      <c r="F13" s="73">
        <f>C13*E13</f>
        <v>3000</v>
      </c>
      <c r="G13" s="32"/>
    </row>
    <row r="14" spans="1:10" x14ac:dyDescent="0.2">
      <c r="A14" s="32"/>
      <c r="B14" s="32" t="s">
        <v>135</v>
      </c>
      <c r="C14" s="32">
        <f>J6</f>
        <v>60</v>
      </c>
      <c r="D14" s="32" t="s">
        <v>122</v>
      </c>
      <c r="E14" s="73">
        <v>50</v>
      </c>
      <c r="F14" s="73">
        <f>C14*E14</f>
        <v>3000</v>
      </c>
      <c r="G14" s="32"/>
    </row>
    <row r="15" spans="1:10" x14ac:dyDescent="0.2">
      <c r="A15" s="32"/>
      <c r="B15" s="32" t="s">
        <v>136</v>
      </c>
      <c r="C15" s="32">
        <f>ROUND(J5*1.3,0)</f>
        <v>78</v>
      </c>
      <c r="D15" s="32" t="s">
        <v>137</v>
      </c>
      <c r="E15" s="73">
        <v>12.5</v>
      </c>
      <c r="F15" s="73">
        <f>C15*E15</f>
        <v>975</v>
      </c>
      <c r="G15" s="32" t="s">
        <v>138</v>
      </c>
    </row>
    <row r="16" spans="1:10" x14ac:dyDescent="0.2">
      <c r="E16" s="74" t="s">
        <v>139</v>
      </c>
      <c r="F16" s="74">
        <f>SUM(F13:F15)</f>
        <v>6975</v>
      </c>
    </row>
    <row r="17" spans="1:7" x14ac:dyDescent="0.2">
      <c r="A17" s="30" t="s">
        <v>140</v>
      </c>
      <c r="B17" s="31"/>
      <c r="C17" s="31"/>
      <c r="D17" s="31"/>
      <c r="E17" s="42"/>
      <c r="F17" s="75"/>
      <c r="G17" s="31"/>
    </row>
    <row r="18" spans="1:7" x14ac:dyDescent="0.2">
      <c r="A18" s="32"/>
      <c r="B18" s="32" t="s">
        <v>141</v>
      </c>
      <c r="C18" s="32">
        <v>1</v>
      </c>
      <c r="D18" s="32" t="s">
        <v>128</v>
      </c>
      <c r="E18" s="73">
        <v>17500</v>
      </c>
      <c r="F18" s="73">
        <f>C18*E18</f>
        <v>17500</v>
      </c>
      <c r="G18" s="32"/>
    </row>
    <row r="19" spans="1:7" x14ac:dyDescent="0.2">
      <c r="A19" s="32"/>
      <c r="B19" s="32" t="s">
        <v>142</v>
      </c>
      <c r="C19" s="32">
        <v>1</v>
      </c>
      <c r="D19" s="32" t="s">
        <v>125</v>
      </c>
      <c r="E19" s="73">
        <v>1000</v>
      </c>
      <c r="F19" s="73">
        <f>C19*E19</f>
        <v>1000</v>
      </c>
      <c r="G19" s="32"/>
    </row>
    <row r="20" spans="1:7" x14ac:dyDescent="0.2">
      <c r="A20" s="32"/>
      <c r="B20" s="32" t="s">
        <v>143</v>
      </c>
      <c r="C20" s="32">
        <v>1</v>
      </c>
      <c r="D20" s="32" t="s">
        <v>125</v>
      </c>
      <c r="E20" s="73">
        <v>2000</v>
      </c>
      <c r="F20" s="73">
        <f>C20*E20</f>
        <v>2000</v>
      </c>
      <c r="G20" s="32"/>
    </row>
    <row r="21" spans="1:7" x14ac:dyDescent="0.2">
      <c r="A21" s="32"/>
      <c r="B21" s="32" t="s">
        <v>144</v>
      </c>
      <c r="C21" s="32">
        <v>1</v>
      </c>
      <c r="D21" s="32" t="s">
        <v>125</v>
      </c>
      <c r="E21" s="73">
        <v>1500</v>
      </c>
      <c r="F21" s="73">
        <f>C21*E21</f>
        <v>1500</v>
      </c>
      <c r="G21" s="32"/>
    </row>
    <row r="22" spans="1:7" x14ac:dyDescent="0.2">
      <c r="E22" s="74" t="s">
        <v>145</v>
      </c>
      <c r="F22" s="74">
        <f>SUM(F18:F21)</f>
        <v>22000</v>
      </c>
    </row>
    <row r="23" spans="1:7" x14ac:dyDescent="0.2">
      <c r="A23" s="30" t="s">
        <v>146</v>
      </c>
      <c r="B23" s="31"/>
      <c r="C23" s="31"/>
      <c r="D23" s="31"/>
      <c r="E23" s="75"/>
      <c r="F23" s="75"/>
      <c r="G23" s="31"/>
    </row>
    <row r="24" spans="1:7" x14ac:dyDescent="0.2">
      <c r="A24" s="32"/>
      <c r="B24" s="32" t="s">
        <v>147</v>
      </c>
      <c r="C24" s="32">
        <v>1</v>
      </c>
      <c r="D24" s="32" t="s">
        <v>113</v>
      </c>
      <c r="E24" s="73">
        <v>1200</v>
      </c>
      <c r="F24" s="73">
        <f>C24*E24</f>
        <v>1200</v>
      </c>
      <c r="G24" s="32"/>
    </row>
    <row r="25" spans="1:7" x14ac:dyDescent="0.2">
      <c r="A25" s="32"/>
      <c r="B25" s="32" t="s">
        <v>148</v>
      </c>
      <c r="C25" s="32">
        <v>1</v>
      </c>
      <c r="D25" s="32" t="s">
        <v>113</v>
      </c>
      <c r="E25" s="73">
        <v>1100</v>
      </c>
      <c r="F25" s="73">
        <f>C25*E25</f>
        <v>1100</v>
      </c>
      <c r="G25" s="32"/>
    </row>
    <row r="26" spans="1:7" x14ac:dyDescent="0.2">
      <c r="A26" s="32"/>
      <c r="B26" s="32" t="s">
        <v>149</v>
      </c>
      <c r="C26" s="32">
        <v>1</v>
      </c>
      <c r="D26" s="32" t="s">
        <v>125</v>
      </c>
      <c r="E26" s="73">
        <v>200</v>
      </c>
      <c r="F26" s="73">
        <f>C26*E26</f>
        <v>200</v>
      </c>
      <c r="G26" s="32"/>
    </row>
    <row r="27" spans="1:7" x14ac:dyDescent="0.2">
      <c r="E27" s="74" t="s">
        <v>150</v>
      </c>
      <c r="F27" s="74">
        <f>SUM(F24:F26)</f>
        <v>2500</v>
      </c>
    </row>
    <row r="28" spans="1:7" x14ac:dyDescent="0.2">
      <c r="A28" s="30" t="s">
        <v>151</v>
      </c>
      <c r="B28" s="31"/>
      <c r="C28" s="31"/>
      <c r="D28" s="31"/>
      <c r="E28" s="75"/>
      <c r="F28" s="75"/>
      <c r="G28" s="31"/>
    </row>
    <row r="29" spans="1:7" x14ac:dyDescent="0.2">
      <c r="A29" s="32"/>
      <c r="B29" s="32" t="s">
        <v>152</v>
      </c>
      <c r="C29" s="32">
        <v>1</v>
      </c>
      <c r="D29" s="32" t="s">
        <v>128</v>
      </c>
      <c r="E29" s="73">
        <v>700</v>
      </c>
      <c r="F29" s="73">
        <f>C29*E29</f>
        <v>700</v>
      </c>
      <c r="G29" s="32"/>
    </row>
    <row r="30" spans="1:7" x14ac:dyDescent="0.2">
      <c r="A30" s="32"/>
      <c r="B30" s="32" t="s">
        <v>153</v>
      </c>
      <c r="C30" s="32">
        <v>1</v>
      </c>
      <c r="D30" s="32" t="s">
        <v>128</v>
      </c>
      <c r="E30" s="73">
        <v>800</v>
      </c>
      <c r="F30" s="73">
        <f>C30*E30</f>
        <v>800</v>
      </c>
      <c r="G30" s="32"/>
    </row>
    <row r="31" spans="1:7" x14ac:dyDescent="0.2">
      <c r="A31" s="32"/>
      <c r="B31" s="32" t="s">
        <v>154</v>
      </c>
      <c r="C31" s="32">
        <v>1</v>
      </c>
      <c r="D31" s="32" t="s">
        <v>128</v>
      </c>
      <c r="E31" s="73">
        <v>300</v>
      </c>
      <c r="F31" s="73">
        <f>C31*E31</f>
        <v>300</v>
      </c>
      <c r="G31" s="32"/>
    </row>
    <row r="32" spans="1:7" x14ac:dyDescent="0.2">
      <c r="A32" s="32"/>
      <c r="B32" s="32" t="s">
        <v>155</v>
      </c>
      <c r="C32" s="32">
        <v>1</v>
      </c>
      <c r="D32" s="32" t="s">
        <v>125</v>
      </c>
      <c r="E32" s="73">
        <v>200</v>
      </c>
      <c r="F32" s="73">
        <f>C32*E32</f>
        <v>200</v>
      </c>
      <c r="G32" s="32"/>
    </row>
    <row r="33" spans="1:7" x14ac:dyDescent="0.2">
      <c r="A33" s="32"/>
      <c r="E33" s="74" t="s">
        <v>156</v>
      </c>
      <c r="F33" s="74">
        <f>SUM(F29:F32)</f>
        <v>2000</v>
      </c>
      <c r="G33" s="32"/>
    </row>
    <row r="34" spans="1:7" x14ac:dyDescent="0.2">
      <c r="A34" s="30" t="s">
        <v>157</v>
      </c>
      <c r="B34" s="31"/>
      <c r="C34" s="31"/>
      <c r="D34" s="31"/>
      <c r="E34" s="75"/>
      <c r="F34" s="75"/>
      <c r="G34" s="31"/>
    </row>
    <row r="35" spans="1:7" x14ac:dyDescent="0.2">
      <c r="A35" s="32" t="s">
        <v>158</v>
      </c>
      <c r="B35" s="32" t="s">
        <v>159</v>
      </c>
      <c r="C35" s="32">
        <v>1</v>
      </c>
      <c r="D35" s="32" t="s">
        <v>125</v>
      </c>
      <c r="E35" s="73">
        <v>1500</v>
      </c>
      <c r="F35" s="73">
        <f>C35*E35</f>
        <v>1500</v>
      </c>
      <c r="G35" s="32"/>
    </row>
    <row r="36" spans="1:7" x14ac:dyDescent="0.2">
      <c r="A36" s="32" t="s">
        <v>158</v>
      </c>
      <c r="B36" s="32" t="s">
        <v>160</v>
      </c>
      <c r="C36" s="32">
        <v>1</v>
      </c>
      <c r="D36" s="32" t="s">
        <v>125</v>
      </c>
      <c r="E36" s="73">
        <v>1000</v>
      </c>
      <c r="F36" s="73">
        <f>C36*E36</f>
        <v>1000</v>
      </c>
      <c r="G36" s="32"/>
    </row>
    <row r="37" spans="1:7" x14ac:dyDescent="0.2">
      <c r="A37" s="32" t="s">
        <v>161</v>
      </c>
      <c r="B37" s="99" t="s">
        <v>162</v>
      </c>
      <c r="C37" s="100"/>
      <c r="D37" s="101"/>
      <c r="E37" s="73">
        <v>5000</v>
      </c>
      <c r="F37" s="73">
        <v>5000</v>
      </c>
      <c r="G37" s="32"/>
    </row>
    <row r="38" spans="1:7" x14ac:dyDescent="0.2">
      <c r="E38" s="74" t="s">
        <v>163</v>
      </c>
      <c r="F38" s="74">
        <f>SUM(F35:F37)</f>
        <v>7500</v>
      </c>
    </row>
    <row r="39" spans="1:7" x14ac:dyDescent="0.2">
      <c r="E39" s="42"/>
      <c r="F39" s="42"/>
    </row>
    <row r="40" spans="1:7" x14ac:dyDescent="0.2">
      <c r="E40" s="42"/>
      <c r="F40" s="42"/>
    </row>
    <row r="41" spans="1:7" x14ac:dyDescent="0.2">
      <c r="E41" s="42"/>
      <c r="F41" s="42"/>
    </row>
    <row r="42" spans="1:7" x14ac:dyDescent="0.2">
      <c r="E42" s="42"/>
      <c r="F42" s="42"/>
    </row>
    <row r="43" spans="1:7" x14ac:dyDescent="0.2">
      <c r="E43" s="42"/>
      <c r="F43" s="42"/>
    </row>
    <row r="44" spans="1:7" x14ac:dyDescent="0.2">
      <c r="E44" s="42"/>
      <c r="F44" s="42"/>
    </row>
  </sheetData>
  <mergeCells count="1">
    <mergeCell ref="B37:D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"/>
  <sheetViews>
    <sheetView tabSelected="1" workbookViewId="0">
      <selection activeCell="E16" sqref="E16"/>
    </sheetView>
  </sheetViews>
  <sheetFormatPr defaultRowHeight="15" x14ac:dyDescent="0.2"/>
  <cols>
    <col min="1" max="1" width="42.375" style="33" customWidth="1"/>
    <col min="2" max="2" width="55.9609375" style="33" bestFit="1" customWidth="1"/>
    <col min="3" max="3" width="7.26171875" style="33" bestFit="1" customWidth="1"/>
    <col min="4" max="4" width="8.609375" style="33" bestFit="1" customWidth="1"/>
    <col min="5" max="5" width="22.8671875" style="33" bestFit="1" customWidth="1"/>
    <col min="6" max="6" width="13.71875" style="33" bestFit="1" customWidth="1"/>
    <col min="7" max="7" width="24.88671875" style="33" bestFit="1" customWidth="1"/>
  </cols>
  <sheetData>
    <row r="1" spans="1:7" ht="18.75" customHeight="1" x14ac:dyDescent="0.25">
      <c r="A1" s="1" t="s">
        <v>164</v>
      </c>
    </row>
    <row r="2" spans="1:7" x14ac:dyDescent="0.2">
      <c r="A2" s="29" t="s">
        <v>112</v>
      </c>
      <c r="B2" s="29" t="s">
        <v>113</v>
      </c>
      <c r="C2" s="29" t="s">
        <v>114</v>
      </c>
      <c r="D2" s="29" t="s">
        <v>115</v>
      </c>
      <c r="E2" s="29" t="s">
        <v>116</v>
      </c>
      <c r="F2" s="29" t="s">
        <v>117</v>
      </c>
      <c r="G2" s="29" t="s">
        <v>118</v>
      </c>
    </row>
    <row r="3" spans="1:7" x14ac:dyDescent="0.2">
      <c r="A3" s="34" t="s">
        <v>165</v>
      </c>
      <c r="B3" s="34"/>
      <c r="C3" s="34"/>
      <c r="D3" s="34"/>
      <c r="E3" s="34"/>
      <c r="F3" s="35">
        <f>F55+F49+F42+F36+F29+F20+F13</f>
        <v>16900</v>
      </c>
      <c r="G3" s="34"/>
    </row>
    <row r="4" spans="1:7" x14ac:dyDescent="0.2">
      <c r="A4" s="30" t="s">
        <v>166</v>
      </c>
      <c r="B4" s="31"/>
      <c r="C4" s="31"/>
      <c r="D4" s="31"/>
      <c r="E4" s="31"/>
      <c r="F4" s="31"/>
      <c r="G4" s="31"/>
    </row>
    <row r="5" spans="1:7" x14ac:dyDescent="0.2">
      <c r="A5" s="32" t="s">
        <v>166</v>
      </c>
      <c r="B5" s="32" t="s">
        <v>167</v>
      </c>
      <c r="C5" s="32">
        <v>1</v>
      </c>
      <c r="D5" s="32" t="s">
        <v>128</v>
      </c>
      <c r="E5" s="73">
        <v>1000</v>
      </c>
      <c r="F5" s="73">
        <f>C5*E5</f>
        <v>1000</v>
      </c>
      <c r="G5" s="32"/>
    </row>
    <row r="6" spans="1:7" x14ac:dyDescent="0.2">
      <c r="A6" s="32" t="s">
        <v>166</v>
      </c>
      <c r="B6" s="32" t="s">
        <v>168</v>
      </c>
      <c r="C6" s="32">
        <v>1</v>
      </c>
      <c r="D6" s="32" t="s">
        <v>128</v>
      </c>
      <c r="E6" s="73">
        <v>250</v>
      </c>
      <c r="F6" s="73">
        <f>C6*E6</f>
        <v>250</v>
      </c>
      <c r="G6" s="32"/>
    </row>
    <row r="7" spans="1:7" x14ac:dyDescent="0.2">
      <c r="A7" s="32" t="s">
        <v>166</v>
      </c>
      <c r="B7" s="32" t="s">
        <v>169</v>
      </c>
      <c r="C7" s="32">
        <v>1</v>
      </c>
      <c r="D7" s="32" t="s">
        <v>128</v>
      </c>
      <c r="E7" s="73">
        <v>200</v>
      </c>
      <c r="F7" s="73">
        <f>C7*E7</f>
        <v>200</v>
      </c>
      <c r="G7" s="32"/>
    </row>
    <row r="8" spans="1:7" x14ac:dyDescent="0.2">
      <c r="A8" s="32" t="s">
        <v>166</v>
      </c>
      <c r="B8" s="32" t="s">
        <v>170</v>
      </c>
      <c r="C8" s="32">
        <v>1</v>
      </c>
      <c r="D8" s="32" t="s">
        <v>128</v>
      </c>
      <c r="E8" s="73">
        <v>300</v>
      </c>
      <c r="F8" s="73">
        <f>C8*E8</f>
        <v>300</v>
      </c>
      <c r="G8" s="32"/>
    </row>
    <row r="9" spans="1:7" x14ac:dyDescent="0.2">
      <c r="A9" s="32" t="s">
        <v>166</v>
      </c>
      <c r="B9" s="32" t="s">
        <v>171</v>
      </c>
      <c r="C9" s="32">
        <v>1</v>
      </c>
      <c r="D9" s="32" t="s">
        <v>128</v>
      </c>
      <c r="E9" s="73">
        <v>600</v>
      </c>
      <c r="F9" s="73">
        <f>C9*E9</f>
        <v>600</v>
      </c>
      <c r="G9" s="32"/>
    </row>
    <row r="10" spans="1:7" x14ac:dyDescent="0.2">
      <c r="A10" s="32" t="s">
        <v>166</v>
      </c>
      <c r="B10" s="32" t="s">
        <v>172</v>
      </c>
      <c r="C10" s="32">
        <v>1</v>
      </c>
      <c r="D10" s="32" t="s">
        <v>128</v>
      </c>
      <c r="E10" s="73">
        <v>150</v>
      </c>
      <c r="F10" s="73">
        <f>C10*E10</f>
        <v>150</v>
      </c>
      <c r="G10" s="32"/>
    </row>
    <row r="11" spans="1:7" x14ac:dyDescent="0.2">
      <c r="A11" s="32" t="s">
        <v>166</v>
      </c>
      <c r="B11" s="32" t="s">
        <v>173</v>
      </c>
      <c r="C11" s="32">
        <v>1</v>
      </c>
      <c r="D11" s="32" t="s">
        <v>125</v>
      </c>
      <c r="E11" s="73">
        <v>500</v>
      </c>
      <c r="F11" s="73">
        <f>C11*E11</f>
        <v>500</v>
      </c>
      <c r="G11" s="32"/>
    </row>
    <row r="12" spans="1:7" x14ac:dyDescent="0.2">
      <c r="A12" s="32" t="s">
        <v>166</v>
      </c>
      <c r="B12" s="32" t="s">
        <v>174</v>
      </c>
      <c r="C12" s="32">
        <v>1</v>
      </c>
      <c r="D12" s="32" t="s">
        <v>125</v>
      </c>
      <c r="E12" s="73">
        <v>400</v>
      </c>
      <c r="F12" s="73">
        <f>C12*E12</f>
        <v>400</v>
      </c>
      <c r="G12" s="32"/>
    </row>
    <row r="13" spans="1:7" x14ac:dyDescent="0.2">
      <c r="E13" s="74" t="s">
        <v>175</v>
      </c>
      <c r="F13" s="42">
        <f>SUM(F5:F12)</f>
        <v>3400</v>
      </c>
    </row>
    <row r="14" spans="1:7" x14ac:dyDescent="0.2">
      <c r="A14" s="30" t="s">
        <v>176</v>
      </c>
      <c r="B14" s="31"/>
      <c r="C14" s="31"/>
      <c r="D14" s="31"/>
      <c r="E14" s="31"/>
      <c r="F14" s="31"/>
      <c r="G14" s="31"/>
    </row>
    <row r="15" spans="1:7" x14ac:dyDescent="0.2">
      <c r="A15" s="32" t="s">
        <v>177</v>
      </c>
      <c r="B15" s="32" t="s">
        <v>178</v>
      </c>
      <c r="C15" s="32">
        <v>1</v>
      </c>
      <c r="D15" s="32" t="s">
        <v>128</v>
      </c>
      <c r="E15" s="73">
        <v>700</v>
      </c>
      <c r="F15" s="73">
        <f>C15*E15</f>
        <v>700</v>
      </c>
      <c r="G15" s="32"/>
    </row>
    <row r="16" spans="1:7" x14ac:dyDescent="0.2">
      <c r="A16" s="32" t="s">
        <v>177</v>
      </c>
      <c r="B16" s="32" t="s">
        <v>179</v>
      </c>
      <c r="C16" s="32">
        <v>6</v>
      </c>
      <c r="D16" s="32" t="s">
        <v>128</v>
      </c>
      <c r="E16" s="73">
        <v>100</v>
      </c>
      <c r="F16" s="73">
        <f>C16*E16</f>
        <v>600</v>
      </c>
      <c r="G16" s="32"/>
    </row>
    <row r="17" spans="1:7" x14ac:dyDescent="0.2">
      <c r="A17" s="32" t="s">
        <v>180</v>
      </c>
      <c r="B17" s="32" t="s">
        <v>181</v>
      </c>
      <c r="C17" s="32">
        <v>1</v>
      </c>
      <c r="D17" s="32" t="s">
        <v>182</v>
      </c>
      <c r="E17" s="73">
        <v>1000</v>
      </c>
      <c r="F17" s="73">
        <f>C17*E17</f>
        <v>1000</v>
      </c>
      <c r="G17" s="32"/>
    </row>
    <row r="18" spans="1:7" x14ac:dyDescent="0.2">
      <c r="A18" s="32" t="s">
        <v>180</v>
      </c>
      <c r="B18" s="32" t="s">
        <v>183</v>
      </c>
      <c r="C18" s="32">
        <v>1</v>
      </c>
      <c r="D18" s="32" t="s">
        <v>182</v>
      </c>
      <c r="E18" s="73">
        <v>1500</v>
      </c>
      <c r="F18" s="73">
        <f>C18*E18</f>
        <v>1500</v>
      </c>
      <c r="G18" s="32" t="s">
        <v>184</v>
      </c>
    </row>
    <row r="19" spans="1:7" x14ac:dyDescent="0.2">
      <c r="A19" s="32" t="s">
        <v>180</v>
      </c>
      <c r="B19" s="32" t="s">
        <v>185</v>
      </c>
      <c r="C19" s="32">
        <v>1</v>
      </c>
      <c r="D19" s="32" t="s">
        <v>125</v>
      </c>
      <c r="E19" s="73">
        <v>200</v>
      </c>
      <c r="F19" s="73">
        <f>C19*E19</f>
        <v>200</v>
      </c>
      <c r="G19" s="32"/>
    </row>
    <row r="20" spans="1:7" x14ac:dyDescent="0.2">
      <c r="E20" s="74" t="s">
        <v>145</v>
      </c>
      <c r="F20" s="42">
        <f>SUM(F15:F19)</f>
        <v>4000</v>
      </c>
    </row>
    <row r="21" spans="1:7" x14ac:dyDescent="0.2">
      <c r="A21" s="30" t="s">
        <v>186</v>
      </c>
      <c r="B21" s="31"/>
      <c r="C21" s="31"/>
      <c r="D21" s="31"/>
      <c r="G21" s="31"/>
    </row>
    <row r="22" spans="1:7" x14ac:dyDescent="0.2">
      <c r="A22" s="32" t="s">
        <v>187</v>
      </c>
      <c r="B22" s="32" t="s">
        <v>188</v>
      </c>
      <c r="C22" s="32">
        <v>1</v>
      </c>
      <c r="D22" s="32" t="s">
        <v>128</v>
      </c>
      <c r="E22" s="73">
        <v>500</v>
      </c>
      <c r="F22" s="73">
        <f>C22*E22</f>
        <v>500</v>
      </c>
      <c r="G22" s="32"/>
    </row>
    <row r="23" spans="1:7" x14ac:dyDescent="0.2">
      <c r="A23" s="32" t="s">
        <v>187</v>
      </c>
      <c r="B23" s="32" t="s">
        <v>189</v>
      </c>
      <c r="C23" s="32">
        <v>1</v>
      </c>
      <c r="D23" s="32" t="s">
        <v>128</v>
      </c>
      <c r="E23" s="73">
        <v>1000</v>
      </c>
      <c r="F23" s="73">
        <f>C23*E23</f>
        <v>1000</v>
      </c>
      <c r="G23" s="32"/>
    </row>
    <row r="24" spans="1:7" x14ac:dyDescent="0.2">
      <c r="A24" s="32" t="s">
        <v>187</v>
      </c>
      <c r="B24" s="32" t="s">
        <v>190</v>
      </c>
      <c r="C24" s="32">
        <v>1</v>
      </c>
      <c r="D24" s="32" t="s">
        <v>128</v>
      </c>
      <c r="E24" s="73">
        <v>300</v>
      </c>
      <c r="F24" s="73">
        <f>C24*E24</f>
        <v>300</v>
      </c>
      <c r="G24" s="32"/>
    </row>
    <row r="25" spans="1:7" x14ac:dyDescent="0.2">
      <c r="A25" s="32" t="s">
        <v>187</v>
      </c>
      <c r="B25" s="32" t="s">
        <v>191</v>
      </c>
      <c r="C25" s="32">
        <v>2</v>
      </c>
      <c r="D25" s="32" t="s">
        <v>128</v>
      </c>
      <c r="E25" s="73">
        <v>100</v>
      </c>
      <c r="F25" s="73">
        <f>C25*E25</f>
        <v>200</v>
      </c>
      <c r="G25" s="32"/>
    </row>
    <row r="26" spans="1:7" x14ac:dyDescent="0.2">
      <c r="A26" s="32" t="s">
        <v>187</v>
      </c>
      <c r="B26" s="32" t="s">
        <v>192</v>
      </c>
      <c r="C26" s="32">
        <v>1</v>
      </c>
      <c r="D26" s="32" t="s">
        <v>128</v>
      </c>
      <c r="E26" s="73">
        <v>500</v>
      </c>
      <c r="F26" s="73">
        <f>C26*E26</f>
        <v>500</v>
      </c>
      <c r="G26" s="32"/>
    </row>
    <row r="27" spans="1:7" x14ac:dyDescent="0.2">
      <c r="A27" s="32" t="s">
        <v>187</v>
      </c>
      <c r="B27" s="32" t="s">
        <v>193</v>
      </c>
      <c r="C27" s="32">
        <v>1</v>
      </c>
      <c r="D27" s="32" t="s">
        <v>182</v>
      </c>
      <c r="E27" s="73">
        <v>300</v>
      </c>
      <c r="F27" s="73">
        <f>C27*E27</f>
        <v>300</v>
      </c>
      <c r="G27" s="32"/>
    </row>
    <row r="28" spans="1:7" x14ac:dyDescent="0.2">
      <c r="A28" s="32" t="s">
        <v>187</v>
      </c>
      <c r="B28" s="32" t="s">
        <v>173</v>
      </c>
      <c r="C28" s="32">
        <v>1</v>
      </c>
      <c r="D28" s="32" t="s">
        <v>125</v>
      </c>
      <c r="E28" s="73">
        <v>200</v>
      </c>
      <c r="F28" s="73">
        <f>C28*E28</f>
        <v>200</v>
      </c>
      <c r="G28" s="32"/>
    </row>
    <row r="29" spans="1:7" x14ac:dyDescent="0.2">
      <c r="E29" s="74" t="s">
        <v>194</v>
      </c>
      <c r="F29" s="42">
        <f>SUM(F22:F28)</f>
        <v>3000</v>
      </c>
    </row>
    <row r="30" spans="1:7" x14ac:dyDescent="0.2">
      <c r="A30" s="30" t="s">
        <v>195</v>
      </c>
      <c r="B30" s="31"/>
      <c r="C30" s="31"/>
      <c r="D30" s="31"/>
      <c r="E30" s="31"/>
      <c r="F30" s="31"/>
      <c r="G30" s="31"/>
    </row>
    <row r="31" spans="1:7" x14ac:dyDescent="0.2">
      <c r="A31" s="32" t="s">
        <v>196</v>
      </c>
      <c r="B31" s="32" t="s">
        <v>197</v>
      </c>
      <c r="C31" s="32">
        <v>1</v>
      </c>
      <c r="D31" s="32" t="s">
        <v>128</v>
      </c>
      <c r="E31" s="73">
        <v>300</v>
      </c>
      <c r="F31" s="73">
        <f>C31*E31</f>
        <v>300</v>
      </c>
      <c r="G31" s="32" t="s">
        <v>198</v>
      </c>
    </row>
    <row r="32" spans="1:7" x14ac:dyDescent="0.2">
      <c r="A32" s="32" t="s">
        <v>196</v>
      </c>
      <c r="B32" s="32" t="s">
        <v>199</v>
      </c>
      <c r="C32" s="32">
        <v>1</v>
      </c>
      <c r="D32" s="32" t="s">
        <v>128</v>
      </c>
      <c r="E32" s="73">
        <v>200</v>
      </c>
      <c r="F32" s="73">
        <f>C32*E32</f>
        <v>200</v>
      </c>
      <c r="G32" s="32" t="s">
        <v>200</v>
      </c>
    </row>
    <row r="33" spans="1:7" x14ac:dyDescent="0.2">
      <c r="A33" s="32" t="s">
        <v>201</v>
      </c>
      <c r="B33" s="32" t="s">
        <v>202</v>
      </c>
      <c r="C33" s="32">
        <v>1</v>
      </c>
      <c r="D33" s="32" t="s">
        <v>128</v>
      </c>
      <c r="E33" s="73">
        <v>300</v>
      </c>
      <c r="F33" s="73">
        <f>C33*E33</f>
        <v>300</v>
      </c>
      <c r="G33" s="32" t="s">
        <v>203</v>
      </c>
    </row>
    <row r="34" spans="1:7" x14ac:dyDescent="0.2">
      <c r="A34" s="32" t="s">
        <v>201</v>
      </c>
      <c r="B34" s="32" t="s">
        <v>204</v>
      </c>
      <c r="C34" s="32">
        <v>1</v>
      </c>
      <c r="D34" s="32" t="s">
        <v>128</v>
      </c>
      <c r="E34" s="73">
        <v>200</v>
      </c>
      <c r="F34" s="73">
        <f>C34*E34</f>
        <v>200</v>
      </c>
      <c r="G34" s="32" t="s">
        <v>203</v>
      </c>
    </row>
    <row r="35" spans="1:7" x14ac:dyDescent="0.2">
      <c r="A35" s="32" t="s">
        <v>201</v>
      </c>
      <c r="B35" s="32" t="s">
        <v>205</v>
      </c>
      <c r="C35" s="32">
        <v>1</v>
      </c>
      <c r="D35" s="32" t="s">
        <v>128</v>
      </c>
      <c r="E35" s="73">
        <v>200</v>
      </c>
      <c r="F35" s="73">
        <f>C35*E35</f>
        <v>200</v>
      </c>
      <c r="G35" s="32"/>
    </row>
    <row r="36" spans="1:7" x14ac:dyDescent="0.2">
      <c r="E36" s="74" t="s">
        <v>206</v>
      </c>
      <c r="F36" s="42">
        <f>SUM(F31:F35)</f>
        <v>1200</v>
      </c>
    </row>
    <row r="37" spans="1:7" x14ac:dyDescent="0.2">
      <c r="A37" s="30" t="s">
        <v>151</v>
      </c>
      <c r="B37" s="31"/>
      <c r="C37" s="31"/>
      <c r="D37" s="31"/>
      <c r="E37" s="31"/>
      <c r="F37" s="31"/>
      <c r="G37" s="31"/>
    </row>
    <row r="38" spans="1:7" x14ac:dyDescent="0.2">
      <c r="A38" s="32" t="s">
        <v>207</v>
      </c>
      <c r="B38" s="32" t="s">
        <v>208</v>
      </c>
      <c r="C38" s="32">
        <v>1</v>
      </c>
      <c r="D38" s="32" t="s">
        <v>182</v>
      </c>
      <c r="E38" s="73">
        <v>250</v>
      </c>
      <c r="F38" s="73">
        <f>C38*E38</f>
        <v>250</v>
      </c>
      <c r="G38" s="32"/>
    </row>
    <row r="39" spans="1:7" x14ac:dyDescent="0.2">
      <c r="A39" s="32" t="s">
        <v>207</v>
      </c>
      <c r="B39" s="32" t="s">
        <v>209</v>
      </c>
      <c r="C39" s="32">
        <v>1</v>
      </c>
      <c r="D39" s="32" t="s">
        <v>125</v>
      </c>
      <c r="E39" s="73">
        <v>250</v>
      </c>
      <c r="F39" s="73">
        <f>C39*E39</f>
        <v>250</v>
      </c>
      <c r="G39" s="32"/>
    </row>
    <row r="40" spans="1:7" x14ac:dyDescent="0.2">
      <c r="A40" s="32" t="s">
        <v>207</v>
      </c>
      <c r="B40" s="32" t="s">
        <v>210</v>
      </c>
      <c r="C40" s="32">
        <v>1</v>
      </c>
      <c r="D40" s="32" t="s">
        <v>125</v>
      </c>
      <c r="E40" s="73">
        <v>150</v>
      </c>
      <c r="F40" s="73">
        <f>C40*E40</f>
        <v>150</v>
      </c>
      <c r="G40" s="32"/>
    </row>
    <row r="41" spans="1:7" x14ac:dyDescent="0.2">
      <c r="A41" s="32" t="s">
        <v>211</v>
      </c>
      <c r="B41" s="32" t="s">
        <v>212</v>
      </c>
      <c r="C41" s="32">
        <v>1</v>
      </c>
      <c r="D41" s="32" t="s">
        <v>125</v>
      </c>
      <c r="E41" s="73">
        <v>150</v>
      </c>
      <c r="F41" s="73">
        <f>C41*E41</f>
        <v>150</v>
      </c>
      <c r="G41" s="32"/>
    </row>
    <row r="42" spans="1:7" x14ac:dyDescent="0.2">
      <c r="E42" s="36" t="s">
        <v>213</v>
      </c>
      <c r="F42" s="42">
        <f>SUM(F38:F41)</f>
        <v>800</v>
      </c>
    </row>
    <row r="43" spans="1:7" x14ac:dyDescent="0.2">
      <c r="A43" s="30" t="s">
        <v>214</v>
      </c>
      <c r="B43" s="31"/>
      <c r="C43" s="31"/>
      <c r="D43" s="31"/>
      <c r="E43" s="31"/>
      <c r="F43" s="31"/>
      <c r="G43" s="31"/>
    </row>
    <row r="44" spans="1:7" x14ac:dyDescent="0.2">
      <c r="A44" s="32" t="s">
        <v>215</v>
      </c>
      <c r="B44" s="32" t="s">
        <v>216</v>
      </c>
      <c r="C44" s="32">
        <v>1</v>
      </c>
      <c r="D44" s="32" t="s">
        <v>128</v>
      </c>
      <c r="E44" s="73">
        <v>600</v>
      </c>
      <c r="F44" s="73">
        <f>C44*E44</f>
        <v>600</v>
      </c>
      <c r="G44" s="32" t="s">
        <v>217</v>
      </c>
    </row>
    <row r="45" spans="1:7" x14ac:dyDescent="0.2">
      <c r="A45" s="32" t="s">
        <v>215</v>
      </c>
      <c r="B45" s="32" t="s">
        <v>218</v>
      </c>
      <c r="C45" s="32">
        <v>1</v>
      </c>
      <c r="D45" s="32" t="s">
        <v>128</v>
      </c>
      <c r="E45" s="73">
        <v>700</v>
      </c>
      <c r="F45" s="73">
        <f>C45*E45</f>
        <v>700</v>
      </c>
      <c r="G45" s="32" t="s">
        <v>217</v>
      </c>
    </row>
    <row r="46" spans="1:7" x14ac:dyDescent="0.2">
      <c r="A46" s="32" t="s">
        <v>215</v>
      </c>
      <c r="B46" s="32" t="s">
        <v>219</v>
      </c>
      <c r="C46" s="32">
        <v>1</v>
      </c>
      <c r="D46" s="32" t="s">
        <v>182</v>
      </c>
      <c r="E46" s="73">
        <v>100</v>
      </c>
      <c r="F46" s="73">
        <f>C46*E46</f>
        <v>100</v>
      </c>
      <c r="G46" s="32"/>
    </row>
    <row r="47" spans="1:7" x14ac:dyDescent="0.2">
      <c r="A47" s="32" t="s">
        <v>220</v>
      </c>
      <c r="B47" s="32" t="s">
        <v>221</v>
      </c>
      <c r="C47" s="32">
        <v>1</v>
      </c>
      <c r="D47" s="32" t="s">
        <v>128</v>
      </c>
      <c r="E47" s="73">
        <v>400</v>
      </c>
      <c r="F47" s="73">
        <f>C47*E47</f>
        <v>400</v>
      </c>
      <c r="G47" s="32" t="s">
        <v>222</v>
      </c>
    </row>
    <row r="48" spans="1:7" x14ac:dyDescent="0.2">
      <c r="A48" s="32" t="s">
        <v>220</v>
      </c>
      <c r="B48" s="32" t="s">
        <v>223</v>
      </c>
      <c r="C48" s="32">
        <v>1</v>
      </c>
      <c r="D48" s="32" t="s">
        <v>125</v>
      </c>
      <c r="E48" s="73">
        <v>200</v>
      </c>
      <c r="F48" s="73">
        <f>C48*E48</f>
        <v>200</v>
      </c>
      <c r="G48" s="32"/>
    </row>
    <row r="49" spans="1:7" x14ac:dyDescent="0.2">
      <c r="E49" s="74" t="s">
        <v>224</v>
      </c>
      <c r="F49" s="42">
        <f>SUM(F44:F48)</f>
        <v>2000</v>
      </c>
    </row>
    <row r="50" spans="1:7" x14ac:dyDescent="0.2">
      <c r="A50" s="30" t="s">
        <v>225</v>
      </c>
      <c r="B50" s="31"/>
      <c r="C50" s="31"/>
      <c r="D50" s="31"/>
      <c r="E50" s="31"/>
      <c r="F50" s="31"/>
      <c r="G50" s="31"/>
    </row>
    <row r="51" spans="1:7" x14ac:dyDescent="0.2">
      <c r="A51" s="32" t="s">
        <v>158</v>
      </c>
      <c r="B51" s="32" t="s">
        <v>226</v>
      </c>
      <c r="C51" s="32">
        <v>1</v>
      </c>
      <c r="D51" s="32" t="s">
        <v>125</v>
      </c>
      <c r="E51" s="73">
        <v>300</v>
      </c>
      <c r="F51" s="73">
        <f>C51*E51</f>
        <v>300</v>
      </c>
      <c r="G51" s="32"/>
    </row>
    <row r="52" spans="1:7" x14ac:dyDescent="0.2">
      <c r="A52" s="32" t="s">
        <v>158</v>
      </c>
      <c r="B52" s="32" t="s">
        <v>227</v>
      </c>
      <c r="C52" s="32">
        <v>1</v>
      </c>
      <c r="D52" s="32" t="s">
        <v>125</v>
      </c>
      <c r="E52" s="73">
        <v>500</v>
      </c>
      <c r="F52" s="73">
        <f>C52*E52</f>
        <v>500</v>
      </c>
      <c r="G52" s="32"/>
    </row>
    <row r="53" spans="1:7" x14ac:dyDescent="0.2">
      <c r="A53" s="32" t="s">
        <v>158</v>
      </c>
      <c r="B53" s="32" t="s">
        <v>228</v>
      </c>
      <c r="C53" s="32">
        <v>1</v>
      </c>
      <c r="D53" s="32" t="s">
        <v>125</v>
      </c>
      <c r="E53" s="73">
        <v>500</v>
      </c>
      <c r="F53" s="73">
        <f>C53*E53</f>
        <v>500</v>
      </c>
      <c r="G53" s="32"/>
    </row>
    <row r="54" spans="1:7" x14ac:dyDescent="0.2">
      <c r="A54" s="32" t="s">
        <v>158</v>
      </c>
      <c r="B54" s="32" t="s">
        <v>229</v>
      </c>
      <c r="C54" s="32">
        <v>1</v>
      </c>
      <c r="D54" s="32" t="s">
        <v>125</v>
      </c>
      <c r="E54" s="73">
        <v>1200</v>
      </c>
      <c r="F54" s="73">
        <f>C54*E54</f>
        <v>1200</v>
      </c>
      <c r="G54" s="32"/>
    </row>
    <row r="55" spans="1:7" x14ac:dyDescent="0.2">
      <c r="B55" s="3"/>
      <c r="E55" t="s">
        <v>230</v>
      </c>
      <c r="F55" s="76">
        <f>SUM(F51:F54)</f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topLeftCell="C1" workbookViewId="0">
      <pane ySplit="8" topLeftCell="C11" activePane="bottomLeft" state="frozen"/>
      <selection activeCell="C1" sqref="C1"/>
      <selection pane="bottomLeft" activeCell="M4" sqref="M4"/>
    </sheetView>
  </sheetViews>
  <sheetFormatPr defaultRowHeight="15" x14ac:dyDescent="0.2"/>
  <cols>
    <col min="1" max="1" width="47.484375" style="33" customWidth="1"/>
    <col min="2" max="2" width="18.0234375" style="43" customWidth="1"/>
    <col min="3" max="4" width="13.98828125" style="43" customWidth="1"/>
    <col min="5" max="5" width="14.9296875" style="43" bestFit="1" customWidth="1"/>
    <col min="6" max="6" width="16.8125" style="33" bestFit="1" customWidth="1"/>
    <col min="7" max="7" width="13.98828125" style="33" bestFit="1" customWidth="1"/>
  </cols>
  <sheetData>
    <row r="1" spans="1:7" ht="18.75" customHeight="1" x14ac:dyDescent="0.25">
      <c r="A1" s="1" t="s">
        <v>231</v>
      </c>
      <c r="D1" s="77"/>
      <c r="E1" t="s">
        <v>232</v>
      </c>
      <c r="F1" t="s">
        <v>233</v>
      </c>
      <c r="G1" t="s">
        <v>234</v>
      </c>
    </row>
    <row r="2" spans="1:7" x14ac:dyDescent="0.2">
      <c r="D2" s="78" t="s">
        <v>235</v>
      </c>
      <c r="E2" s="78">
        <f>SUM(C9:C18)</f>
        <v>60000</v>
      </c>
      <c r="F2" s="78">
        <f>SUM(D9:D18)</f>
        <v>15472.009197940908</v>
      </c>
      <c r="G2" s="78">
        <f>E18</f>
        <v>75472.009197940919</v>
      </c>
    </row>
    <row r="3" spans="1:7" x14ac:dyDescent="0.2">
      <c r="A3" t="s">
        <v>236</v>
      </c>
      <c r="B3" s="43">
        <v>0</v>
      </c>
      <c r="D3" s="78" t="s">
        <v>237</v>
      </c>
      <c r="E3" s="78">
        <f>SUM(C10:C19)+E2</f>
        <v>120000</v>
      </c>
      <c r="F3" s="78">
        <f>G3-E3</f>
        <v>78403.305467916594</v>
      </c>
      <c r="G3" s="78">
        <f>E28</f>
        <v>198403.30546791659</v>
      </c>
    </row>
    <row r="4" spans="1:7" x14ac:dyDescent="0.2">
      <c r="A4" t="s">
        <v>238</v>
      </c>
      <c r="B4" s="43">
        <f>Maandbegroting!D49</f>
        <v>500</v>
      </c>
      <c r="D4" s="78" t="s">
        <v>239</v>
      </c>
      <c r="E4" s="78">
        <f>SUM(C11:C20)+E3</f>
        <v>180000</v>
      </c>
      <c r="F4" s="78">
        <f>G4-E4</f>
        <v>218645.43342486571</v>
      </c>
      <c r="G4" s="78">
        <f>E38</f>
        <v>398645.43342486571</v>
      </c>
    </row>
    <row r="5" spans="1:7" x14ac:dyDescent="0.2">
      <c r="A5" t="s">
        <v>240</v>
      </c>
      <c r="B5" s="43">
        <v>0.05</v>
      </c>
      <c r="D5" s="78" t="s">
        <v>241</v>
      </c>
      <c r="E5" s="78">
        <f>SUM(C12:C21)+E4</f>
        <v>240000</v>
      </c>
      <c r="F5" s="78">
        <f>G5-E5</f>
        <v>484818.75970842096</v>
      </c>
      <c r="G5" s="78">
        <f>E48</f>
        <v>724818.75970842096</v>
      </c>
    </row>
    <row r="6" spans="1:7" x14ac:dyDescent="0.2">
      <c r="A6" t="s">
        <v>242</v>
      </c>
      <c r="B6" s="43">
        <v>30</v>
      </c>
      <c r="D6" s="78" t="s">
        <v>243</v>
      </c>
      <c r="E6" s="78">
        <f>SUM(C13:C22)+E5</f>
        <v>300000</v>
      </c>
      <c r="F6" s="78">
        <f>G6-E6</f>
        <v>956120.73828982958</v>
      </c>
      <c r="G6" s="78">
        <f>E58</f>
        <v>1256120.7382898296</v>
      </c>
    </row>
    <row r="7" spans="1:7" x14ac:dyDescent="0.2">
      <c r="D7" s="78"/>
      <c r="E7" s="78"/>
    </row>
    <row r="8" spans="1:7" x14ac:dyDescent="0.2">
      <c r="A8" s="3" t="s">
        <v>244</v>
      </c>
      <c r="B8" s="79" t="s">
        <v>245</v>
      </c>
      <c r="C8" s="79" t="s">
        <v>246</v>
      </c>
      <c r="D8" s="79" t="s">
        <v>247</v>
      </c>
      <c r="E8" s="79" t="s">
        <v>248</v>
      </c>
    </row>
    <row r="9" spans="1:7" x14ac:dyDescent="0.2">
      <c r="A9">
        <v>1</v>
      </c>
      <c r="B9" s="43">
        <f>B3</f>
        <v>0</v>
      </c>
      <c r="C9" s="43">
        <f>$B$4*12</f>
        <v>6000</v>
      </c>
      <c r="D9" s="43">
        <f>C9*(B5/100)</f>
        <v>3</v>
      </c>
      <c r="E9" s="43">
        <f>B9+C9+D9</f>
        <v>6003</v>
      </c>
    </row>
    <row r="10" spans="1:7" x14ac:dyDescent="0.2">
      <c r="A10">
        <v>2</v>
      </c>
      <c r="B10" s="43">
        <f>E9</f>
        <v>6003</v>
      </c>
      <c r="C10" s="43">
        <f>$B$4*12</f>
        <v>6000</v>
      </c>
      <c r="D10" s="43">
        <f>B10*($B$5)</f>
        <v>300.15000000000003</v>
      </c>
      <c r="E10" s="43">
        <f>B10+C10+D10</f>
        <v>12303.15</v>
      </c>
    </row>
    <row r="11" spans="1:7" x14ac:dyDescent="0.2">
      <c r="A11">
        <v>3</v>
      </c>
      <c r="B11" s="43">
        <f>E10</f>
        <v>12303.15</v>
      </c>
      <c r="C11" s="43">
        <f>$B$4*12</f>
        <v>6000</v>
      </c>
      <c r="D11" s="43">
        <f>B11*($B$5)</f>
        <v>615.15750000000003</v>
      </c>
      <c r="E11" s="43">
        <f>B11+C11+D11</f>
        <v>18918.307500000003</v>
      </c>
    </row>
    <row r="12" spans="1:7" x14ac:dyDescent="0.2">
      <c r="A12">
        <v>4</v>
      </c>
      <c r="B12" s="43">
        <f>E11</f>
        <v>18918.307500000003</v>
      </c>
      <c r="C12" s="43">
        <f>$B$4*12</f>
        <v>6000</v>
      </c>
      <c r="D12" s="43">
        <f>B12*($B$5)</f>
        <v>945.91537500000015</v>
      </c>
      <c r="E12" s="43">
        <f>B12+C12+D12</f>
        <v>25864.222875000003</v>
      </c>
    </row>
    <row r="13" spans="1:7" x14ac:dyDescent="0.2">
      <c r="A13">
        <v>5</v>
      </c>
      <c r="B13" s="43">
        <f>E12</f>
        <v>25864.222875000003</v>
      </c>
      <c r="C13" s="43">
        <f>$B$4*12</f>
        <v>6000</v>
      </c>
      <c r="D13" s="43">
        <f>B13*($B$5)</f>
        <v>1293.2111437500002</v>
      </c>
      <c r="E13" s="43">
        <f>B13+C13+D13</f>
        <v>33157.434018750006</v>
      </c>
    </row>
    <row r="14" spans="1:7" x14ac:dyDescent="0.2">
      <c r="A14">
        <v>6</v>
      </c>
      <c r="B14" s="43">
        <f>E13</f>
        <v>33157.434018750006</v>
      </c>
      <c r="C14" s="43">
        <f>$B$4*12</f>
        <v>6000</v>
      </c>
      <c r="D14" s="43">
        <f>B14*($B$5)</f>
        <v>1657.8717009375005</v>
      </c>
      <c r="E14" s="43">
        <f>B14+C14+D14</f>
        <v>40815.305719687509</v>
      </c>
    </row>
    <row r="15" spans="1:7" x14ac:dyDescent="0.2">
      <c r="A15">
        <v>7</v>
      </c>
      <c r="B15" s="43">
        <f>E14</f>
        <v>40815.305719687509</v>
      </c>
      <c r="C15" s="43">
        <f>$B$4*12</f>
        <v>6000</v>
      </c>
      <c r="D15" s="43">
        <f>B15*($B$5)</f>
        <v>2040.7652859843756</v>
      </c>
      <c r="E15" s="43">
        <f>B15+C15+D15</f>
        <v>48856.071005671882</v>
      </c>
    </row>
    <row r="16" spans="1:7" x14ac:dyDescent="0.2">
      <c r="A16">
        <v>8</v>
      </c>
      <c r="B16" s="43">
        <f>E15</f>
        <v>48856.071005671882</v>
      </c>
      <c r="C16" s="43">
        <f>$B$4*12</f>
        <v>6000</v>
      </c>
      <c r="D16" s="43">
        <f>B16*($B$5)</f>
        <v>2442.8035502835942</v>
      </c>
      <c r="E16" s="43">
        <f>B16+C16+D16</f>
        <v>57298.874555955474</v>
      </c>
    </row>
    <row r="17" spans="1:5" x14ac:dyDescent="0.2">
      <c r="A17">
        <v>9</v>
      </c>
      <c r="B17" s="43">
        <f>E16</f>
        <v>57298.874555955474</v>
      </c>
      <c r="C17" s="43">
        <f>$B$4*12</f>
        <v>6000</v>
      </c>
      <c r="D17" s="43">
        <f>B17*($B$5)</f>
        <v>2864.943727797774</v>
      </c>
      <c r="E17" s="43">
        <f>B17+C17+D17</f>
        <v>66163.818283753251</v>
      </c>
    </row>
    <row r="18" spans="1:5" x14ac:dyDescent="0.2">
      <c r="A18">
        <v>10</v>
      </c>
      <c r="B18" s="43">
        <f>E17</f>
        <v>66163.818283753251</v>
      </c>
      <c r="C18" s="43">
        <f>$B$4*12</f>
        <v>6000</v>
      </c>
      <c r="D18" s="43">
        <f>B18*($B$5)</f>
        <v>3308.1909141876627</v>
      </c>
      <c r="E18" s="43">
        <f>B18+C18+D18</f>
        <v>75472.009197940919</v>
      </c>
    </row>
    <row r="19" spans="1:5" x14ac:dyDescent="0.2">
      <c r="A19">
        <v>11</v>
      </c>
      <c r="B19" s="43">
        <f>E18</f>
        <v>75472.009197940919</v>
      </c>
      <c r="C19" s="43">
        <f>$B$4*12</f>
        <v>6000</v>
      </c>
      <c r="D19" s="43">
        <f>B19*($B$5)</f>
        <v>3773.6004598970462</v>
      </c>
      <c r="E19" s="43">
        <f>B19+C19+D19</f>
        <v>85245.609657837966</v>
      </c>
    </row>
    <row r="20" spans="1:5" x14ac:dyDescent="0.2">
      <c r="A20">
        <v>12</v>
      </c>
      <c r="B20" s="43">
        <f>E19</f>
        <v>85245.609657837966</v>
      </c>
      <c r="C20" s="43">
        <f>$B$4*12</f>
        <v>6000</v>
      </c>
      <c r="D20" s="43">
        <f>B20*($B$5)</f>
        <v>4262.2804828918988</v>
      </c>
      <c r="E20" s="43">
        <f>B20+C20+D20</f>
        <v>95507.890140729869</v>
      </c>
    </row>
    <row r="21" spans="1:5" x14ac:dyDescent="0.2">
      <c r="A21">
        <v>13</v>
      </c>
      <c r="B21" s="43">
        <f>E20</f>
        <v>95507.890140729869</v>
      </c>
      <c r="C21" s="43">
        <f>$B$4*12</f>
        <v>6000</v>
      </c>
      <c r="D21" s="43">
        <f>B21*($B$5)</f>
        <v>4775.3945070364935</v>
      </c>
      <c r="E21" s="43">
        <f>B21+C21+D21</f>
        <v>106283.28464776636</v>
      </c>
    </row>
    <row r="22" spans="1:5" x14ac:dyDescent="0.2">
      <c r="A22">
        <v>14</v>
      </c>
      <c r="B22" s="43">
        <f>E21</f>
        <v>106283.28464776636</v>
      </c>
      <c r="C22" s="43">
        <f>$B$4*12</f>
        <v>6000</v>
      </c>
      <c r="D22" s="43">
        <f>B22*($B$5)</f>
        <v>5314.1642323883179</v>
      </c>
      <c r="E22" s="43">
        <f>B22+C22+D22</f>
        <v>117597.44888015467</v>
      </c>
    </row>
    <row r="23" spans="1:5" x14ac:dyDescent="0.2">
      <c r="A23">
        <v>15</v>
      </c>
      <c r="B23" s="43">
        <f>E22</f>
        <v>117597.44888015467</v>
      </c>
      <c r="C23" s="43">
        <f>$B$4*12</f>
        <v>6000</v>
      </c>
      <c r="D23" s="43">
        <f>B23*($B$5)</f>
        <v>5879.872444007734</v>
      </c>
      <c r="E23" s="43">
        <f>B23+C23+D23</f>
        <v>129477.3213241624</v>
      </c>
    </row>
    <row r="24" spans="1:5" x14ac:dyDescent="0.2">
      <c r="A24">
        <v>16</v>
      </c>
      <c r="B24" s="43">
        <f>E23</f>
        <v>129477.3213241624</v>
      </c>
      <c r="C24" s="43">
        <f>$B$4*12</f>
        <v>6000</v>
      </c>
      <c r="D24" s="43">
        <f>B24*($B$5)</f>
        <v>6473.8660662081202</v>
      </c>
      <c r="E24" s="43">
        <f>B24+C24+D24</f>
        <v>141951.18739037053</v>
      </c>
    </row>
    <row r="25" spans="1:5" x14ac:dyDescent="0.2">
      <c r="A25">
        <v>17</v>
      </c>
      <c r="B25" s="43">
        <f>E24</f>
        <v>141951.18739037053</v>
      </c>
      <c r="C25" s="43">
        <f>$B$4*12</f>
        <v>6000</v>
      </c>
      <c r="D25" s="43">
        <f>B25*($B$5)</f>
        <v>7097.5593695185271</v>
      </c>
      <c r="E25" s="43">
        <f>B25+C25+D25</f>
        <v>155048.74675988907</v>
      </c>
    </row>
    <row r="26" spans="1:5" x14ac:dyDescent="0.2">
      <c r="A26">
        <v>18</v>
      </c>
      <c r="B26" s="43">
        <f>E25</f>
        <v>155048.74675988907</v>
      </c>
      <c r="C26" s="43">
        <f>$B$4*12</f>
        <v>6000</v>
      </c>
      <c r="D26" s="43">
        <f>B26*($B$5)</f>
        <v>7752.4373379944536</v>
      </c>
      <c r="E26" s="43">
        <f>B26+C26+D26</f>
        <v>168801.18409788352</v>
      </c>
    </row>
    <row r="27" spans="1:5" x14ac:dyDescent="0.2">
      <c r="A27">
        <v>19</v>
      </c>
      <c r="B27" s="43">
        <f>E26</f>
        <v>168801.18409788352</v>
      </c>
      <c r="C27" s="43">
        <f>$B$4*12</f>
        <v>6000</v>
      </c>
      <c r="D27" s="43">
        <f>B27*($B$5)</f>
        <v>8440.0592048941762</v>
      </c>
      <c r="E27" s="43">
        <f>B27+C27+D27</f>
        <v>183241.2433027777</v>
      </c>
    </row>
    <row r="28" spans="1:5" x14ac:dyDescent="0.2">
      <c r="A28">
        <v>20</v>
      </c>
      <c r="B28" s="43">
        <f>E27</f>
        <v>183241.2433027777</v>
      </c>
      <c r="C28" s="43">
        <f>$B$4*12</f>
        <v>6000</v>
      </c>
      <c r="D28" s="43">
        <f>B28*($B$5)</f>
        <v>9162.0621651388847</v>
      </c>
      <c r="E28" s="43">
        <f>B28+C28+D28</f>
        <v>198403.30546791659</v>
      </c>
    </row>
    <row r="29" spans="1:5" x14ac:dyDescent="0.2">
      <c r="A29">
        <v>21</v>
      </c>
      <c r="B29" s="43">
        <f>E28</f>
        <v>198403.30546791659</v>
      </c>
      <c r="C29" s="43">
        <f>$B$4*12</f>
        <v>6000</v>
      </c>
      <c r="D29" s="43">
        <f>B29*($B$5)</f>
        <v>9920.1652733958308</v>
      </c>
      <c r="E29" s="43">
        <f>B29+C29+D29</f>
        <v>214323.47074131243</v>
      </c>
    </row>
    <row r="30" spans="1:5" x14ac:dyDescent="0.2">
      <c r="A30">
        <v>22</v>
      </c>
      <c r="B30" s="43">
        <f>E29</f>
        <v>214323.47074131243</v>
      </c>
      <c r="C30" s="43">
        <f>$B$4*12</f>
        <v>6000</v>
      </c>
      <c r="D30" s="43">
        <f>B30*($B$5)</f>
        <v>10716.173537065622</v>
      </c>
      <c r="E30" s="43">
        <f>B30+C30+D30</f>
        <v>231039.64427837805</v>
      </c>
    </row>
    <row r="31" spans="1:5" x14ac:dyDescent="0.2">
      <c r="A31">
        <v>23</v>
      </c>
      <c r="B31" s="43">
        <f>E30</f>
        <v>231039.64427837805</v>
      </c>
      <c r="C31" s="43">
        <f>$B$4*12</f>
        <v>6000</v>
      </c>
      <c r="D31" s="43">
        <f>B31*($B$5)</f>
        <v>11551.982213918904</v>
      </c>
      <c r="E31" s="43">
        <f>B31+C31+D31</f>
        <v>248591.62649229696</v>
      </c>
    </row>
    <row r="32" spans="1:5" x14ac:dyDescent="0.2">
      <c r="A32">
        <v>24</v>
      </c>
      <c r="B32" s="43">
        <f>E31</f>
        <v>248591.62649229696</v>
      </c>
      <c r="C32" s="43">
        <f>$B$4*12</f>
        <v>6000</v>
      </c>
      <c r="D32" s="43">
        <f>B32*($B$5)</f>
        <v>12429.581324614848</v>
      </c>
      <c r="E32" s="43">
        <f>B32+C32+D32</f>
        <v>267021.2078169118</v>
      </c>
    </row>
    <row r="33" spans="1:5" x14ac:dyDescent="0.2">
      <c r="A33">
        <v>25</v>
      </c>
      <c r="B33" s="43">
        <f>E32</f>
        <v>267021.2078169118</v>
      </c>
      <c r="C33" s="43">
        <f>$B$4*12</f>
        <v>6000</v>
      </c>
      <c r="D33" s="43">
        <f>B33*($B$5)</f>
        <v>13351.060390845591</v>
      </c>
      <c r="E33" s="43">
        <f>B33+C33+D33</f>
        <v>286372.26820775738</v>
      </c>
    </row>
    <row r="34" spans="1:5" x14ac:dyDescent="0.2">
      <c r="A34">
        <v>26</v>
      </c>
      <c r="B34" s="43">
        <f>E33</f>
        <v>286372.26820775738</v>
      </c>
      <c r="C34" s="43">
        <f>$B$4*12</f>
        <v>6000</v>
      </c>
      <c r="D34" s="43">
        <f>B34*($B$5)</f>
        <v>14318.61341038787</v>
      </c>
      <c r="E34" s="43">
        <f>B34+C34+D34</f>
        <v>306690.88161814527</v>
      </c>
    </row>
    <row r="35" spans="1:5" x14ac:dyDescent="0.2">
      <c r="A35">
        <v>27</v>
      </c>
      <c r="B35" s="43">
        <f>E34</f>
        <v>306690.88161814527</v>
      </c>
      <c r="C35" s="43">
        <f>$B$4*12</f>
        <v>6000</v>
      </c>
      <c r="D35" s="43">
        <f>B35*($B$5)</f>
        <v>15334.544080907264</v>
      </c>
      <c r="E35" s="43">
        <f>B35+C35+D35</f>
        <v>328025.42569905252</v>
      </c>
    </row>
    <row r="36" spans="1:5" x14ac:dyDescent="0.2">
      <c r="A36">
        <v>28</v>
      </c>
      <c r="B36" s="43">
        <f>E35</f>
        <v>328025.42569905252</v>
      </c>
      <c r="C36" s="43">
        <f>$B$4*12</f>
        <v>6000</v>
      </c>
      <c r="D36" s="43">
        <f>B36*($B$5)</f>
        <v>16401.271284952625</v>
      </c>
      <c r="E36" s="43">
        <f>B36+C36+D36</f>
        <v>350426.69698400516</v>
      </c>
    </row>
    <row r="37" spans="1:5" x14ac:dyDescent="0.2">
      <c r="A37">
        <v>29</v>
      </c>
      <c r="B37" s="43">
        <f>E36</f>
        <v>350426.69698400516</v>
      </c>
      <c r="C37" s="43">
        <f>$B$4*12</f>
        <v>6000</v>
      </c>
      <c r="D37" s="43">
        <f>B37*($B$5)</f>
        <v>17521.334849200259</v>
      </c>
      <c r="E37" s="43">
        <f>B37+C37+D37</f>
        <v>373948.03183320543</v>
      </c>
    </row>
    <row r="38" spans="1:5" x14ac:dyDescent="0.2">
      <c r="A38">
        <v>30</v>
      </c>
      <c r="B38" s="43">
        <f>E37</f>
        <v>373948.03183320543</v>
      </c>
      <c r="C38" s="43">
        <f>$B$4*12</f>
        <v>6000</v>
      </c>
      <c r="D38" s="43">
        <f>B38*($B$5)</f>
        <v>18697.401591660273</v>
      </c>
      <c r="E38" s="43">
        <f>B38+C38+D38</f>
        <v>398645.43342486571</v>
      </c>
    </row>
    <row r="39" spans="1:5" x14ac:dyDescent="0.2">
      <c r="A39">
        <v>31</v>
      </c>
      <c r="B39" s="43">
        <f>E38</f>
        <v>398645.43342486571</v>
      </c>
      <c r="C39" s="43">
        <f>$B$4*12</f>
        <v>6000</v>
      </c>
      <c r="D39" s="43">
        <f>B39*($B$5)</f>
        <v>19932.271671243288</v>
      </c>
      <c r="E39" s="43">
        <f>B39+C39+D39</f>
        <v>424577.70509610901</v>
      </c>
    </row>
    <row r="40" spans="1:5" x14ac:dyDescent="0.2">
      <c r="A40">
        <v>32</v>
      </c>
      <c r="B40" s="43">
        <f>E39</f>
        <v>424577.70509610901</v>
      </c>
      <c r="C40" s="43">
        <f>$B$4*12</f>
        <v>6000</v>
      </c>
      <c r="D40" s="43">
        <f>B40*($B$5)</f>
        <v>21228.885254805453</v>
      </c>
      <c r="E40" s="43">
        <f>B40+C40+D40</f>
        <v>451806.59035091446</v>
      </c>
    </row>
    <row r="41" spans="1:5" x14ac:dyDescent="0.2">
      <c r="A41">
        <v>33</v>
      </c>
      <c r="B41" s="43">
        <f>E40</f>
        <v>451806.59035091446</v>
      </c>
      <c r="C41" s="43">
        <f>$B$4*12</f>
        <v>6000</v>
      </c>
      <c r="D41" s="43">
        <f>B41*($B$5)</f>
        <v>22590.329517545724</v>
      </c>
      <c r="E41" s="43">
        <f>B41+C41+D41</f>
        <v>480396.91986846016</v>
      </c>
    </row>
    <row r="42" spans="1:5" x14ac:dyDescent="0.2">
      <c r="A42">
        <v>34</v>
      </c>
      <c r="B42" s="43">
        <f>E41</f>
        <v>480396.91986846016</v>
      </c>
      <c r="C42" s="43">
        <f>$B$4*12</f>
        <v>6000</v>
      </c>
      <c r="D42" s="43">
        <f>B42*($B$5)</f>
        <v>24019.845993423009</v>
      </c>
      <c r="E42" s="43">
        <f>B42+C42+D42</f>
        <v>510416.76586188318</v>
      </c>
    </row>
    <row r="43" spans="1:5" x14ac:dyDescent="0.2">
      <c r="A43">
        <v>35</v>
      </c>
      <c r="B43" s="43">
        <f>E42</f>
        <v>510416.76586188318</v>
      </c>
      <c r="C43" s="43">
        <f>$B$4*12</f>
        <v>6000</v>
      </c>
      <c r="D43" s="43">
        <f>B43*($B$5)</f>
        <v>25520.838293094159</v>
      </c>
      <c r="E43" s="43">
        <f>B43+C43+D43</f>
        <v>541937.60415497737</v>
      </c>
    </row>
    <row r="44" spans="1:5" x14ac:dyDescent="0.2">
      <c r="A44">
        <v>36</v>
      </c>
      <c r="B44" s="43">
        <f>E43</f>
        <v>541937.60415497737</v>
      </c>
      <c r="C44" s="43">
        <f>$B$4*12</f>
        <v>6000</v>
      </c>
      <c r="D44" s="43">
        <f>B44*($B$5)</f>
        <v>27096.880207748869</v>
      </c>
      <c r="E44" s="43">
        <f>B44+C44+D44</f>
        <v>575034.48436272622</v>
      </c>
    </row>
    <row r="45" spans="1:5" x14ac:dyDescent="0.2">
      <c r="A45">
        <v>37</v>
      </c>
      <c r="B45" s="43">
        <f>E44</f>
        <v>575034.48436272622</v>
      </c>
      <c r="C45" s="43">
        <f>$B$4*12</f>
        <v>6000</v>
      </c>
      <c r="D45" s="43">
        <f>B45*($B$5)</f>
        <v>28751.724218136311</v>
      </c>
      <c r="E45" s="43">
        <f>B45+C45+D45</f>
        <v>609786.2085808625</v>
      </c>
    </row>
    <row r="46" spans="1:5" x14ac:dyDescent="0.2">
      <c r="A46">
        <v>38</v>
      </c>
      <c r="B46" s="43">
        <f>E45</f>
        <v>609786.2085808625</v>
      </c>
      <c r="C46" s="43">
        <f>$B$4*12</f>
        <v>6000</v>
      </c>
      <c r="D46" s="43">
        <f>B46*($B$5)</f>
        <v>30489.310429043126</v>
      </c>
      <c r="E46" s="43">
        <f>B46+C46+D46</f>
        <v>646275.51900990563</v>
      </c>
    </row>
    <row r="47" spans="1:5" x14ac:dyDescent="0.2">
      <c r="A47">
        <v>39</v>
      </c>
      <c r="B47" s="43">
        <f>E46</f>
        <v>646275.51900990563</v>
      </c>
      <c r="C47" s="43">
        <f>$B$4*12</f>
        <v>6000</v>
      </c>
      <c r="D47" s="43">
        <f>B47*($B$5)</f>
        <v>32313.775950495285</v>
      </c>
      <c r="E47" s="43">
        <f>B47+C47+D47</f>
        <v>684589.2949604009</v>
      </c>
    </row>
    <row r="48" spans="1:5" x14ac:dyDescent="0.2">
      <c r="A48">
        <v>40</v>
      </c>
      <c r="B48" s="43">
        <f>E47</f>
        <v>684589.2949604009</v>
      </c>
      <c r="C48" s="43">
        <f>$B$4*12</f>
        <v>6000</v>
      </c>
      <c r="D48" s="43">
        <f>B48*($B$5)</f>
        <v>34229.464748020044</v>
      </c>
      <c r="E48" s="43">
        <f>B48+C48+D48</f>
        <v>724818.75970842096</v>
      </c>
    </row>
    <row r="49" spans="1:5" x14ac:dyDescent="0.2">
      <c r="A49">
        <v>41</v>
      </c>
      <c r="B49" s="43">
        <f>E48</f>
        <v>724818.75970842096</v>
      </c>
      <c r="C49" s="43">
        <f>$B$4*12</f>
        <v>6000</v>
      </c>
      <c r="D49" s="43">
        <f>B49*($B$5)</f>
        <v>36240.937985421049</v>
      </c>
      <c r="E49" s="43">
        <f>B49+C49+D49</f>
        <v>767059.697693842</v>
      </c>
    </row>
    <row r="50" spans="1:5" x14ac:dyDescent="0.2">
      <c r="A50">
        <v>42</v>
      </c>
      <c r="B50" s="43">
        <f>E49</f>
        <v>767059.697693842</v>
      </c>
      <c r="C50" s="43">
        <f>$B$4*12</f>
        <v>6000</v>
      </c>
      <c r="D50" s="43">
        <f>B50*($B$5)</f>
        <v>38352.984884692101</v>
      </c>
      <c r="E50" s="43">
        <f>B50+C50+D50</f>
        <v>811412.68257853412</v>
      </c>
    </row>
    <row r="51" spans="1:5" x14ac:dyDescent="0.2">
      <c r="A51">
        <v>43</v>
      </c>
      <c r="B51" s="43">
        <f>E50</f>
        <v>811412.68257853412</v>
      </c>
      <c r="C51" s="43">
        <f>$B$4*12</f>
        <v>6000</v>
      </c>
      <c r="D51" s="43">
        <f>B51*($B$5)</f>
        <v>40570.634128926707</v>
      </c>
      <c r="E51" s="43">
        <f>B51+C51+D51</f>
        <v>857983.31670746079</v>
      </c>
    </row>
    <row r="52" spans="1:5" x14ac:dyDescent="0.2">
      <c r="A52">
        <v>44</v>
      </c>
      <c r="B52" s="43">
        <f>E51</f>
        <v>857983.31670746079</v>
      </c>
      <c r="C52" s="43">
        <f>$B$4*12</f>
        <v>6000</v>
      </c>
      <c r="D52" s="43">
        <f>B52*($B$5)</f>
        <v>42899.165835373045</v>
      </c>
      <c r="E52" s="43">
        <f>B52+C52+D52</f>
        <v>906882.48254283378</v>
      </c>
    </row>
    <row r="53" spans="1:5" x14ac:dyDescent="0.2">
      <c r="A53">
        <v>45</v>
      </c>
      <c r="B53" s="43">
        <f>E52</f>
        <v>906882.48254283378</v>
      </c>
      <c r="C53" s="43">
        <f>$B$4*12</f>
        <v>6000</v>
      </c>
      <c r="D53" s="43">
        <f>B53*($B$5)</f>
        <v>45344.124127141695</v>
      </c>
      <c r="E53" s="43">
        <f>B53+C53+D53</f>
        <v>958226.60666997544</v>
      </c>
    </row>
    <row r="54" spans="1:5" x14ac:dyDescent="0.2">
      <c r="A54">
        <v>46</v>
      </c>
      <c r="B54" s="43">
        <f>E53</f>
        <v>958226.60666997544</v>
      </c>
      <c r="C54" s="43">
        <f>$B$4*12</f>
        <v>6000</v>
      </c>
      <c r="D54" s="43">
        <f>B54*($B$5)</f>
        <v>47911.330333498772</v>
      </c>
      <c r="E54" s="43">
        <f>B54+C54+D54</f>
        <v>1012137.9370034742</v>
      </c>
    </row>
    <row r="55" spans="1:5" x14ac:dyDescent="0.2">
      <c r="A55">
        <v>47</v>
      </c>
      <c r="B55" s="43">
        <f>E54</f>
        <v>1012137.9370034742</v>
      </c>
      <c r="C55" s="43">
        <f>$B$4*12</f>
        <v>6000</v>
      </c>
      <c r="D55" s="43">
        <f>B55*($B$5)</f>
        <v>50606.896850173711</v>
      </c>
      <c r="E55" s="43">
        <f>B55+C55+D55</f>
        <v>1068744.833853648</v>
      </c>
    </row>
    <row r="56" spans="1:5" x14ac:dyDescent="0.2">
      <c r="A56">
        <v>48</v>
      </c>
      <c r="B56" s="43">
        <f>E55</f>
        <v>1068744.833853648</v>
      </c>
      <c r="C56" s="43">
        <f>$B$4*12</f>
        <v>6000</v>
      </c>
      <c r="D56" s="43">
        <f>B56*($B$5)</f>
        <v>53437.241692682408</v>
      </c>
      <c r="E56" s="43">
        <f>B56+C56+D56</f>
        <v>1128182.0755463305</v>
      </c>
    </row>
    <row r="57" spans="1:5" x14ac:dyDescent="0.2">
      <c r="A57">
        <v>49</v>
      </c>
      <c r="B57" s="43">
        <f>E56</f>
        <v>1128182.0755463305</v>
      </c>
      <c r="C57" s="43">
        <f>$B$4*12</f>
        <v>6000</v>
      </c>
      <c r="D57" s="43">
        <f>B57*($B$5)</f>
        <v>56409.10377731653</v>
      </c>
      <c r="E57" s="43">
        <f>B57+C57+D57</f>
        <v>1190591.1793236472</v>
      </c>
    </row>
    <row r="58" spans="1:5" x14ac:dyDescent="0.2">
      <c r="A58">
        <v>50</v>
      </c>
      <c r="B58" s="43">
        <f>E57</f>
        <v>1190591.1793236472</v>
      </c>
      <c r="C58" s="43">
        <f>$B$4*12</f>
        <v>6000</v>
      </c>
      <c r="D58" s="43">
        <f>B58*($B$5)</f>
        <v>59529.558966182361</v>
      </c>
      <c r="E58" s="43">
        <f>B58+C58+D58</f>
        <v>1256120.7382898296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1"/>
  <sheetViews>
    <sheetView workbookViewId="0">
      <selection activeCell="I33" sqref="I33"/>
    </sheetView>
  </sheetViews>
  <sheetFormatPr defaultRowHeight="15" x14ac:dyDescent="0.2"/>
  <cols>
    <col min="1" max="1" width="21.25390625" style="33" bestFit="1" customWidth="1"/>
    <col min="2" max="2" width="13.85546875" style="43" bestFit="1" customWidth="1"/>
    <col min="3" max="4" width="16.8125" style="43" bestFit="1" customWidth="1"/>
    <col min="5" max="5" width="11.56640625" style="43" bestFit="1" customWidth="1"/>
    <col min="6" max="6" width="19.63671875" style="43" bestFit="1" customWidth="1"/>
    <col min="8" max="8" width="29.99609375" style="33" bestFit="1" customWidth="1"/>
    <col min="9" max="9" width="12.375" style="33" bestFit="1" customWidth="1"/>
  </cols>
  <sheetData>
    <row r="1" spans="1:9" x14ac:dyDescent="0.2">
      <c r="A1" s="4" t="s">
        <v>249</v>
      </c>
      <c r="B1" s="80" t="s">
        <v>250</v>
      </c>
      <c r="C1" s="80" t="s">
        <v>251</v>
      </c>
      <c r="D1" s="80" t="s">
        <v>252</v>
      </c>
      <c r="E1" s="80" t="s">
        <v>253</v>
      </c>
      <c r="F1" s="81" t="s">
        <v>254</v>
      </c>
      <c r="G1" s="5"/>
      <c r="H1" s="6"/>
      <c r="I1" s="6"/>
    </row>
    <row r="2" spans="1:9" x14ac:dyDescent="0.2">
      <c r="A2" s="7">
        <v>1</v>
      </c>
      <c r="B2" s="82">
        <f>I3</f>
        <v>365000</v>
      </c>
      <c r="C2" s="83">
        <f>IFERROR(B2*$I$4/12,"")</f>
        <v>1025.0416666666667</v>
      </c>
      <c r="D2" s="84">
        <f>IFERROR(F2-C2,"")</f>
        <v>587.59946018703727</v>
      </c>
      <c r="E2" s="83">
        <f>IF(A2&lt;&gt;"",$I$6,"")</f>
        <v>1612.641126853704</v>
      </c>
      <c r="F2" s="84">
        <f>IF(A2&lt;&gt;"",$I$6,"")</f>
        <v>1612.641126853704</v>
      </c>
      <c r="G2" s="5"/>
      <c r="H2" s="8" t="s">
        <v>255</v>
      </c>
      <c r="I2" s="9"/>
    </row>
    <row r="3" spans="1:9" x14ac:dyDescent="0.2">
      <c r="A3" s="7">
        <v>2</v>
      </c>
      <c r="B3" s="83">
        <f>IFERROR(IF(B2-D2&gt;=0.01,B2-D2,""),"")</f>
        <v>364412.40053981298</v>
      </c>
      <c r="C3" s="83">
        <f>IFERROR(B3*$I$4/12,"")</f>
        <v>1023.3914915159748</v>
      </c>
      <c r="D3" s="84">
        <f>IFERROR(F3-C3,"")</f>
        <v>589.24963533772916</v>
      </c>
      <c r="E3" s="83">
        <f>IF(A3&lt;&gt;"",$I$6,"")</f>
        <v>1612.641126853704</v>
      </c>
      <c r="F3" s="84">
        <f>IF(A3&lt;&gt;"",$I$6,"")</f>
        <v>1612.641126853704</v>
      </c>
      <c r="G3" s="5"/>
      <c r="H3" s="10" t="s">
        <v>256</v>
      </c>
      <c r="I3" s="85">
        <v>365000</v>
      </c>
    </row>
    <row r="4" spans="1:9" x14ac:dyDescent="0.2">
      <c r="A4" s="7">
        <v>3</v>
      </c>
      <c r="B4" s="83">
        <f>IFERROR(IF(B3-D3&gt;=0.01,B3-D3,""),"")</f>
        <v>363823.15090447525</v>
      </c>
      <c r="C4" s="83">
        <f>IFERROR(B4*$I$4/12,"")</f>
        <v>1021.7366821234014</v>
      </c>
      <c r="D4" s="84">
        <f>IFERROR(F4-C4,"")</f>
        <v>590.90444473030266</v>
      </c>
      <c r="E4" s="83">
        <f>IF(A4&lt;&gt;"",$I$6,"")</f>
        <v>1612.641126853704</v>
      </c>
      <c r="F4" s="84">
        <f>IF(A4&lt;&gt;"",$I$6,"")</f>
        <v>1612.641126853704</v>
      </c>
      <c r="G4" s="5"/>
      <c r="H4" s="10" t="s">
        <v>257</v>
      </c>
      <c r="I4" s="11">
        <v>3.3700000000000001E-2</v>
      </c>
    </row>
    <row r="5" spans="1:9" x14ac:dyDescent="0.2">
      <c r="A5" s="7">
        <v>4</v>
      </c>
      <c r="B5" s="83">
        <f>IFERROR(IF(B4-D4&gt;=0.01,B4-D4,""),"")</f>
        <v>363232.24645974493</v>
      </c>
      <c r="C5" s="83">
        <f>IFERROR(B5*$I$4/12,"")</f>
        <v>1020.0772254744503</v>
      </c>
      <c r="D5" s="84">
        <f>IFERROR(F5-C5,"")</f>
        <v>592.56390137925371</v>
      </c>
      <c r="E5" s="83">
        <f>IF(A5&lt;&gt;"",$I$6,"")</f>
        <v>1612.641126853704</v>
      </c>
      <c r="F5" s="84">
        <f>IF(A5&lt;&gt;"",$I$6,"")</f>
        <v>1612.641126853704</v>
      </c>
      <c r="G5" s="5"/>
      <c r="H5" s="10" t="s">
        <v>258</v>
      </c>
      <c r="I5" s="12">
        <v>360</v>
      </c>
    </row>
    <row r="6" spans="1:9" x14ac:dyDescent="0.2">
      <c r="A6" s="7">
        <v>5</v>
      </c>
      <c r="B6" s="83">
        <f>IFERROR(IF(B5-D5&gt;=0.01,B5-D5,""),"")</f>
        <v>362639.68255836569</v>
      </c>
      <c r="C6" s="83">
        <f>IFERROR(B6*$I$4/12,"")</f>
        <v>1018.413108518077</v>
      </c>
      <c r="D6" s="84">
        <f>IFERROR(F6-C6,"")</f>
        <v>594.22801833562698</v>
      </c>
      <c r="E6" s="83">
        <f>IF(A6&lt;&gt;"",$I$6,"")</f>
        <v>1612.641126853704</v>
      </c>
      <c r="F6" s="84">
        <f>IF(A6&lt;&gt;"",$I$6,"")</f>
        <v>1612.641126853704</v>
      </c>
      <c r="G6" s="5"/>
      <c r="H6" s="13" t="s">
        <v>259</v>
      </c>
      <c r="I6" s="86">
        <f>-PMT(I4/12,I5,I3)</f>
        <v>1612.641126853704</v>
      </c>
    </row>
    <row r="7" spans="1:9" x14ac:dyDescent="0.2">
      <c r="A7" s="7">
        <v>6</v>
      </c>
      <c r="B7" s="83">
        <f>IFERROR(IF(B6-D6&gt;=0.01,B6-D6,""),"")</f>
        <v>362045.45454003004</v>
      </c>
      <c r="C7" s="83">
        <f>IFERROR(B7*$I$4/12,"")</f>
        <v>1016.7443181665844</v>
      </c>
      <c r="D7" s="84">
        <f>IFERROR(F7-C7,"")</f>
        <v>595.89680868711957</v>
      </c>
      <c r="E7" s="83">
        <f>IF(A7&lt;&gt;"",$I$6,"")</f>
        <v>1612.641126853704</v>
      </c>
      <c r="F7" s="84">
        <f>IF(A7&lt;&gt;"",$I$6,"")</f>
        <v>1612.641126853704</v>
      </c>
      <c r="G7" s="5"/>
      <c r="H7" s="13" t="s">
        <v>260</v>
      </c>
      <c r="I7" s="87">
        <f>SUMIF(B2:B601,"&gt;=0",F2:F601)</f>
        <v>580550.80566733168</v>
      </c>
    </row>
    <row r="8" spans="1:9" x14ac:dyDescent="0.2">
      <c r="A8" s="7">
        <v>7</v>
      </c>
      <c r="B8" s="83">
        <f>IFERROR(IF(B7-D7&gt;=0.01,B7-D7,""),"")</f>
        <v>361449.55773134291</v>
      </c>
      <c r="C8" s="83">
        <f>IFERROR(B8*$I$4/12,"")</f>
        <v>1015.0708412955214</v>
      </c>
      <c r="D8" s="84">
        <f>IFERROR(F8-C8,"")</f>
        <v>597.5702855581826</v>
      </c>
      <c r="E8" s="83">
        <f>IF(A8&lt;&gt;"",$I$6,"")</f>
        <v>1612.641126853704</v>
      </c>
      <c r="F8" s="84">
        <f>IF(A8&lt;&gt;"",$I$6,"")</f>
        <v>1612.641126853704</v>
      </c>
      <c r="G8" s="6"/>
      <c r="H8" s="7"/>
      <c r="I8" s="7"/>
    </row>
    <row r="9" spans="1:9" x14ac:dyDescent="0.2">
      <c r="A9" s="7">
        <v>8</v>
      </c>
      <c r="B9" s="83">
        <f>IFERROR(IF(B8-D8&gt;=0.01,B8-D8,""),"")</f>
        <v>360851.98744578473</v>
      </c>
      <c r="C9" s="83">
        <f>IFERROR(B9*$I$4/12,"")</f>
        <v>1013.3926647435788</v>
      </c>
      <c r="D9" s="84">
        <f>IFERROR(F9-C9,"")</f>
        <v>599.24846211012516</v>
      </c>
      <c r="E9" s="83">
        <f>IF(A9&lt;&gt;"",$I$6,"")</f>
        <v>1612.641126853704</v>
      </c>
      <c r="F9" s="84">
        <f>IF(A9&lt;&gt;"",$I$6,"")</f>
        <v>1612.641126853704</v>
      </c>
      <c r="G9" s="6"/>
      <c r="H9" t="s">
        <v>261</v>
      </c>
      <c r="I9" s="88">
        <f>SUM(C:C)</f>
        <v>215550.80566733415</v>
      </c>
    </row>
    <row r="10" spans="1:9" x14ac:dyDescent="0.2">
      <c r="A10" s="7">
        <v>9</v>
      </c>
      <c r="B10" s="83">
        <f>IFERROR(IF(B9-D9&gt;=0.01,B9-D9,""),"")</f>
        <v>360252.73898367462</v>
      </c>
      <c r="C10" s="83">
        <f>IFERROR(B10*$I$4/12,"")</f>
        <v>1011.7097753124863</v>
      </c>
      <c r="D10" s="84">
        <f>IFERROR(F10-C10,"")</f>
        <v>600.93135154121774</v>
      </c>
      <c r="E10" s="83">
        <f>IF(A10&lt;&gt;"",$I$6,"")</f>
        <v>1612.641126853704</v>
      </c>
      <c r="F10" s="84">
        <f>IF(A10&lt;&gt;"",$I$6,"")</f>
        <v>1612.641126853704</v>
      </c>
      <c r="G10" s="6"/>
      <c r="H10" s="14" t="s">
        <v>262</v>
      </c>
      <c r="I10" s="89">
        <f>SUM(D:D)</f>
        <v>364999.99999999959</v>
      </c>
    </row>
    <row r="11" spans="1:9" x14ac:dyDescent="0.2">
      <c r="A11" s="7">
        <v>10</v>
      </c>
      <c r="B11" s="83">
        <f>IFERROR(IF(B10-D10&gt;=0.01,B10-D10,""),"")</f>
        <v>359651.80763213342</v>
      </c>
      <c r="C11" s="83">
        <f>IFERROR(B11*$I$4/12,"")</f>
        <v>1010.022159766908</v>
      </c>
      <c r="D11" s="84">
        <f>IFERROR(F11-C11,"")</f>
        <v>602.61896708679603</v>
      </c>
      <c r="E11" s="83">
        <f>IF(A11&lt;&gt;"",$I$6,"")</f>
        <v>1612.641126853704</v>
      </c>
      <c r="F11" s="84">
        <f>IF(A11&lt;&gt;"",$I$6,"")</f>
        <v>1612.641126853704</v>
      </c>
      <c r="G11" s="6"/>
      <c r="H11" s="6" t="s">
        <v>263</v>
      </c>
      <c r="I11" s="90">
        <f>I9+I10</f>
        <v>580550.80566733377</v>
      </c>
    </row>
    <row r="12" spans="1:9" x14ac:dyDescent="0.2">
      <c r="A12" s="7">
        <v>11</v>
      </c>
      <c r="B12" s="83">
        <f>IFERROR(IF(B11-D11&gt;=0.01,B11-D11,""),"")</f>
        <v>359049.18866504665</v>
      </c>
      <c r="C12" s="83">
        <f>IFERROR(B12*$I$4/12,"")</f>
        <v>1008.3298048343394</v>
      </c>
      <c r="D12" s="84">
        <f>IFERROR(F12-C12,"")</f>
        <v>604.31132201936464</v>
      </c>
      <c r="E12" s="83">
        <f>IF(A12&lt;&gt;"",$I$6,"")</f>
        <v>1612.641126853704</v>
      </c>
      <c r="F12" s="84">
        <f>IF(A12&lt;&gt;"",$I$6,"")</f>
        <v>1612.641126853704</v>
      </c>
      <c r="G12" s="6"/>
      <c r="H12" s="6"/>
      <c r="I12" s="6"/>
    </row>
    <row r="13" spans="1:9" x14ac:dyDescent="0.2">
      <c r="A13" s="7">
        <v>12</v>
      </c>
      <c r="B13" s="83">
        <f>IFERROR(IF(B12-D12&gt;=0.01,B12-D12,""),"")</f>
        <v>358444.87734302727</v>
      </c>
      <c r="C13" s="83">
        <f>IFERROR(B13*$I$4/12,"")</f>
        <v>1006.6326972050016</v>
      </c>
      <c r="D13" s="84">
        <f>IFERROR(F13-C13,"")</f>
        <v>606.00842964870242</v>
      </c>
      <c r="E13" s="83">
        <f>IF(A13&lt;&gt;"",$I$6,"")</f>
        <v>1612.641126853704</v>
      </c>
      <c r="F13" s="84">
        <f>IF(A13&lt;&gt;"",$I$6,"")</f>
        <v>1612.641126853704</v>
      </c>
      <c r="G13" s="6"/>
      <c r="H13" s="6"/>
      <c r="I13" s="6"/>
    </row>
    <row r="14" spans="1:9" x14ac:dyDescent="0.2">
      <c r="A14" s="7">
        <v>13</v>
      </c>
      <c r="B14" s="83">
        <f>IFERROR(IF(B13-D13&gt;=0.01,B13-D13,""),"")</f>
        <v>357838.86891337857</v>
      </c>
      <c r="C14" s="83">
        <f>IFERROR(B14*$I$4/12,"")</f>
        <v>1004.9308235317382</v>
      </c>
      <c r="D14" s="84">
        <f>IFERROR(F14-C14,"")</f>
        <v>607.71030332196585</v>
      </c>
      <c r="E14" s="83">
        <f>IF(A14&lt;&gt;"",$I$6,"")</f>
        <v>1612.641126853704</v>
      </c>
      <c r="F14" s="84">
        <f>IF(A14&lt;&gt;"",$I$6,"")</f>
        <v>1612.641126853704</v>
      </c>
      <c r="G14" s="6"/>
      <c r="H14" s="6"/>
      <c r="I14" s="6"/>
    </row>
    <row r="15" spans="1:9" x14ac:dyDescent="0.2">
      <c r="A15" s="7">
        <v>14</v>
      </c>
      <c r="B15" s="83">
        <f>IFERROR(IF(B14-D14&gt;=0.01,B14-D14,""),"")</f>
        <v>357231.15861005662</v>
      </c>
      <c r="C15" s="83">
        <f>IFERROR(B15*$I$4/12,"")</f>
        <v>1003.224170429909</v>
      </c>
      <c r="D15" s="84">
        <f>IFERROR(F15-C15,"")</f>
        <v>609.416956423795</v>
      </c>
      <c r="E15" s="83">
        <f>IF(A15&lt;&gt;"",$I$6,"")</f>
        <v>1612.641126853704</v>
      </c>
      <c r="F15" s="84">
        <f>IF(A15&lt;&gt;"",$I$6,"")</f>
        <v>1612.641126853704</v>
      </c>
      <c r="G15" s="6"/>
      <c r="H15" s="6"/>
      <c r="I15" s="6"/>
    </row>
    <row r="16" spans="1:9" x14ac:dyDescent="0.2">
      <c r="A16" s="7">
        <v>15</v>
      </c>
      <c r="B16" s="83">
        <f>IFERROR(IF(B15-D15&gt;=0.01,B15-D15,""),"")</f>
        <v>356621.74165363284</v>
      </c>
      <c r="C16" s="83">
        <f>IFERROR(B16*$I$4/12,"")</f>
        <v>1001.5127244772856</v>
      </c>
      <c r="D16" s="84">
        <f>IFERROR(F16-C16,"")</f>
        <v>611.12840237641842</v>
      </c>
      <c r="E16" s="83">
        <f>IF(A16&lt;&gt;"",$I$6,"")</f>
        <v>1612.641126853704</v>
      </c>
      <c r="F16" s="84">
        <f>IF(A16&lt;&gt;"",$I$6,"")</f>
        <v>1612.641126853704</v>
      </c>
      <c r="G16" s="6"/>
      <c r="H16" s="6"/>
      <c r="I16" s="6"/>
    </row>
    <row r="17" spans="1:9" x14ac:dyDescent="0.2">
      <c r="A17" s="7">
        <v>16</v>
      </c>
      <c r="B17" s="83">
        <f>IFERROR(IF(B16-D16&gt;=0.01,B16-D16,""),"")</f>
        <v>356010.61325125641</v>
      </c>
      <c r="C17" s="83">
        <f>IFERROR(B17*$I$4/12,"")</f>
        <v>999.79647221394509</v>
      </c>
      <c r="D17" s="84">
        <f>IFERROR(F17-C17,"")</f>
        <v>612.84465463975891</v>
      </c>
      <c r="E17" s="83">
        <f>IF(A17&lt;&gt;"",$I$6,"")</f>
        <v>1612.641126853704</v>
      </c>
      <c r="F17" s="84">
        <f>IF(A17&lt;&gt;"",$I$6,"")</f>
        <v>1612.641126853704</v>
      </c>
      <c r="G17" s="6"/>
      <c r="H17" s="6"/>
      <c r="I17" s="6"/>
    </row>
    <row r="18" spans="1:9" x14ac:dyDescent="0.2">
      <c r="A18" s="7">
        <v>17</v>
      </c>
      <c r="B18" s="83">
        <f>IFERROR(IF(B17-D17&gt;=0.01,B17-D17,""),"")</f>
        <v>355397.76859661663</v>
      </c>
      <c r="C18" s="83">
        <f>IFERROR(B18*$I$4/12,"")</f>
        <v>998.07540014216511</v>
      </c>
      <c r="D18" s="84">
        <f>IFERROR(F18-C18,"")</f>
        <v>614.5657267115389</v>
      </c>
      <c r="E18" s="83">
        <f>IF(A18&lt;&gt;"",$I$6,"")</f>
        <v>1612.641126853704</v>
      </c>
      <c r="F18" s="84">
        <f>IF(A18&lt;&gt;"",$I$6,"")</f>
        <v>1612.641126853704</v>
      </c>
      <c r="G18" s="6"/>
      <c r="H18" s="6"/>
      <c r="I18" s="6"/>
    </row>
    <row r="19" spans="1:9" x14ac:dyDescent="0.2">
      <c r="A19" s="7">
        <v>18</v>
      </c>
      <c r="B19" s="83">
        <f>IFERROR(IF(B18-D18&gt;=0.01,B18-D18,""),"")</f>
        <v>354783.2028699051</v>
      </c>
      <c r="C19" s="83">
        <f>IFERROR(B19*$I$4/12,"")</f>
        <v>996.34949472631695</v>
      </c>
      <c r="D19" s="84">
        <f>IFERROR(F19-C19,"")</f>
        <v>616.29163212738706</v>
      </c>
      <c r="E19" s="83">
        <f>IF(A19&lt;&gt;"",$I$6,"")</f>
        <v>1612.641126853704</v>
      </c>
      <c r="F19" s="84">
        <f>IF(A19&lt;&gt;"",$I$6,"")</f>
        <v>1612.641126853704</v>
      </c>
      <c r="G19" s="6"/>
      <c r="H19" s="6"/>
      <c r="I19" s="6"/>
    </row>
    <row r="20" spans="1:9" x14ac:dyDescent="0.2">
      <c r="A20" s="7">
        <v>19</v>
      </c>
      <c r="B20" s="83">
        <f>IFERROR(IF(B19-D19&gt;=0.01,B19-D19,""),"")</f>
        <v>354166.91123777773</v>
      </c>
      <c r="C20" s="83">
        <f>IFERROR(B20*$I$4/12,"")</f>
        <v>994.61874239275915</v>
      </c>
      <c r="D20" s="84">
        <f>IFERROR(F20-C20,"")</f>
        <v>618.02238446094486</v>
      </c>
      <c r="E20" s="83">
        <f>IF(A20&lt;&gt;"",$I$6,"")</f>
        <v>1612.641126853704</v>
      </c>
      <c r="F20" s="84">
        <f>IF(A20&lt;&gt;"",$I$6,"")</f>
        <v>1612.641126853704</v>
      </c>
      <c r="G20" s="6"/>
      <c r="H20" s="7"/>
      <c r="I20" s="6"/>
    </row>
    <row r="21" spans="1:9" x14ac:dyDescent="0.2">
      <c r="A21" s="7">
        <v>20</v>
      </c>
      <c r="B21" s="83">
        <f>IFERROR(IF(B20-D20&gt;=0.01,B20-D20,""),"")</f>
        <v>353548.88885331678</v>
      </c>
      <c r="C21" s="83">
        <f>IFERROR(B21*$I$4/12,"")</f>
        <v>992.88312952973138</v>
      </c>
      <c r="D21" s="84">
        <f>IFERROR(F21-C21,"")</f>
        <v>619.75799732397263</v>
      </c>
      <c r="E21" s="83">
        <f>IF(A21&lt;&gt;"",$I$6,"")</f>
        <v>1612.641126853704</v>
      </c>
      <c r="F21" s="84">
        <f>IF(A21&lt;&gt;"",$I$6,"")</f>
        <v>1612.641126853704</v>
      </c>
      <c r="G21" s="6"/>
      <c r="H21" s="102"/>
      <c r="I21" s="93"/>
    </row>
    <row r="22" spans="1:9" x14ac:dyDescent="0.2">
      <c r="A22" s="7">
        <v>21</v>
      </c>
      <c r="B22" s="83">
        <f>IFERROR(IF(B21-D21&gt;=0.01,B21-D21,""),"")</f>
        <v>352929.13085599279</v>
      </c>
      <c r="C22" s="83">
        <f>IFERROR(B22*$I$4/12,"")</f>
        <v>991.14264248724646</v>
      </c>
      <c r="D22" s="84">
        <f>IFERROR(F22-C22,"")</f>
        <v>621.49848436645755</v>
      </c>
      <c r="E22" s="83">
        <f>IF(A22&lt;&gt;"",$I$6,"")</f>
        <v>1612.641126853704</v>
      </c>
      <c r="F22" s="84">
        <f>IF(A22&lt;&gt;"",$I$6,"")</f>
        <v>1612.641126853704</v>
      </c>
      <c r="G22" s="6"/>
      <c r="H22" s="6"/>
      <c r="I22" s="6"/>
    </row>
    <row r="23" spans="1:9" x14ac:dyDescent="0.2">
      <c r="A23" s="7">
        <v>22</v>
      </c>
      <c r="B23" s="83">
        <f>IFERROR(IF(B22-D22&gt;=0.01,B22-D22,""),"")</f>
        <v>352307.63237162633</v>
      </c>
      <c r="C23" s="83">
        <f>IFERROR(B23*$I$4/12,"")</f>
        <v>989.39726757698406</v>
      </c>
      <c r="D23" s="84">
        <f>IFERROR(F23-C23,"")</f>
        <v>623.24385927671995</v>
      </c>
      <c r="E23" s="83">
        <f>IF(A23&lt;&gt;"",$I$6,"")</f>
        <v>1612.641126853704</v>
      </c>
      <c r="F23" s="84">
        <f>IF(A23&lt;&gt;"",$I$6,"")</f>
        <v>1612.641126853704</v>
      </c>
      <c r="G23" s="6"/>
      <c r="H23" s="6"/>
      <c r="I23" s="6"/>
    </row>
    <row r="24" spans="1:9" x14ac:dyDescent="0.2">
      <c r="A24" s="7">
        <v>23</v>
      </c>
      <c r="B24" s="83">
        <f>IFERROR(IF(B23-D23&gt;=0.01,B23-D23,""),"")</f>
        <v>351684.38851234963</v>
      </c>
      <c r="C24" s="83">
        <f>IFERROR(B24*$I$4/12,"")</f>
        <v>987.646991072182</v>
      </c>
      <c r="D24" s="84">
        <f>IFERROR(F24-C24,"")</f>
        <v>624.994135781522</v>
      </c>
      <c r="E24" s="83">
        <f>IF(A24&lt;&gt;"",$I$6,"")</f>
        <v>1612.641126853704</v>
      </c>
      <c r="F24" s="84">
        <f>IF(A24&lt;&gt;"",$I$6,"")</f>
        <v>1612.641126853704</v>
      </c>
      <c r="G24" s="6"/>
      <c r="H24" s="6"/>
      <c r="I24" s="6"/>
    </row>
    <row r="25" spans="1:9" x14ac:dyDescent="0.2">
      <c r="A25" s="7">
        <v>24</v>
      </c>
      <c r="B25" s="83">
        <f>IFERROR(IF(B24-D24&gt;=0.01,B24-D24,""),"")</f>
        <v>351059.39437656809</v>
      </c>
      <c r="C25" s="83">
        <f>IFERROR(B25*$I$4/12,"")</f>
        <v>985.89179920752883</v>
      </c>
      <c r="D25" s="84">
        <f>IFERROR(F25-C25,"")</f>
        <v>626.74932764617517</v>
      </c>
      <c r="E25" s="83">
        <f>IF(A25&lt;&gt;"",$I$6,"")</f>
        <v>1612.641126853704</v>
      </c>
      <c r="F25" s="84">
        <f>IF(A25&lt;&gt;"",$I$6,"")</f>
        <v>1612.641126853704</v>
      </c>
      <c r="G25" s="6"/>
      <c r="H25" s="6"/>
      <c r="I25" s="15"/>
    </row>
    <row r="26" spans="1:9" x14ac:dyDescent="0.2">
      <c r="A26" s="7">
        <v>25</v>
      </c>
      <c r="B26" s="83">
        <f>IFERROR(IF(B25-D25&gt;=0.01,B25-D25,""),"")</f>
        <v>350432.64504892193</v>
      </c>
      <c r="C26" s="83">
        <f>IFERROR(B26*$I$4/12,"")</f>
        <v>984.13167817905571</v>
      </c>
      <c r="D26" s="84">
        <f>IFERROR(F26-C26,"")</f>
        <v>628.5094486746483</v>
      </c>
      <c r="E26" s="83">
        <f>IF(A26&lt;&gt;"",$I$6,"")</f>
        <v>1612.641126853704</v>
      </c>
      <c r="F26" s="84">
        <f>IF(A26&lt;&gt;"",$I$6,"")</f>
        <v>1612.641126853704</v>
      </c>
      <c r="G26" s="6"/>
      <c r="H26" s="6"/>
      <c r="I26" s="15"/>
    </row>
    <row r="27" spans="1:9" x14ac:dyDescent="0.2">
      <c r="A27" s="7">
        <v>26</v>
      </c>
      <c r="B27" s="83">
        <f>IFERROR(IF(B26-D26&gt;=0.01,B26-D26,""),"")</f>
        <v>349804.1356002473</v>
      </c>
      <c r="C27" s="83">
        <f>IFERROR(B27*$I$4/12,"")</f>
        <v>982.36661414402795</v>
      </c>
      <c r="D27" s="84">
        <f>IFERROR(F27-C27,"")</f>
        <v>630.27451270967606</v>
      </c>
      <c r="E27" s="83">
        <f>IF(A27&lt;&gt;"",$I$6,"")</f>
        <v>1612.641126853704</v>
      </c>
      <c r="F27" s="84">
        <f>IF(A27&lt;&gt;"",$I$6,"")</f>
        <v>1612.641126853704</v>
      </c>
      <c r="G27" s="6"/>
      <c r="H27" s="6"/>
      <c r="I27" s="6"/>
    </row>
    <row r="28" spans="1:9" x14ac:dyDescent="0.2">
      <c r="A28" s="7">
        <v>27</v>
      </c>
      <c r="B28" s="83">
        <f>IFERROR(IF(B27-D27&gt;=0.01,B27-D27,""),"")</f>
        <v>349173.8610875376</v>
      </c>
      <c r="C28" s="83">
        <f>IFERROR(B28*$I$4/12,"")</f>
        <v>980.59659322083473</v>
      </c>
      <c r="D28" s="84">
        <f>IFERROR(F28-C28,"")</f>
        <v>632.04453363286927</v>
      </c>
      <c r="E28" s="83">
        <f>IF(A28&lt;&gt;"",$I$6,"")</f>
        <v>1612.641126853704</v>
      </c>
      <c r="F28" s="84">
        <f>IF(A28&lt;&gt;"",$I$6,"")</f>
        <v>1612.641126853704</v>
      </c>
      <c r="G28" s="6"/>
      <c r="H28" s="6"/>
      <c r="I28" s="6"/>
    </row>
    <row r="29" spans="1:9" x14ac:dyDescent="0.2">
      <c r="A29" s="7">
        <v>28</v>
      </c>
      <c r="B29" s="83">
        <f>IFERROR(IF(B28-D28&gt;=0.01,B28-D28,""),"")</f>
        <v>348541.81655390473</v>
      </c>
      <c r="C29" s="83">
        <f>IFERROR(B29*$I$4/12,"")</f>
        <v>978.82160148888249</v>
      </c>
      <c r="D29" s="84">
        <f>IFERROR(F29-C29,"")</f>
        <v>633.81952536482152</v>
      </c>
      <c r="E29" s="83">
        <f>IF(A29&lt;&gt;"",$I$6,"")</f>
        <v>1612.641126853704</v>
      </c>
      <c r="F29" s="84">
        <f>IF(A29&lt;&gt;"",$I$6,"")</f>
        <v>1612.641126853704</v>
      </c>
      <c r="G29" s="6"/>
      <c r="H29" s="6"/>
      <c r="I29" s="6"/>
    </row>
    <row r="30" spans="1:9" x14ac:dyDescent="0.2">
      <c r="A30" s="7">
        <v>29</v>
      </c>
      <c r="B30" s="83">
        <f>IFERROR(IF(B29-D29&gt;=0.01,B29-D29,""),"")</f>
        <v>347907.99702853989</v>
      </c>
      <c r="C30" s="83">
        <f>IFERROR(B30*$I$4/12,"")</f>
        <v>977.04162498848291</v>
      </c>
      <c r="D30" s="84">
        <f>IFERROR(F30-C30,"")</f>
        <v>635.5995018652211</v>
      </c>
      <c r="E30" s="83">
        <f>IF(A30&lt;&gt;"",$I$6,"")</f>
        <v>1612.641126853704</v>
      </c>
      <c r="F30" s="84">
        <f>IF(A30&lt;&gt;"",$I$6,"")</f>
        <v>1612.641126853704</v>
      </c>
      <c r="G30" s="6"/>
      <c r="H30" s="6"/>
      <c r="I30" s="6"/>
    </row>
    <row r="31" spans="1:9" x14ac:dyDescent="0.2">
      <c r="A31" s="7">
        <v>30</v>
      </c>
      <c r="B31" s="83">
        <f>IFERROR(IF(B30-D30&gt;=0.01,B30-D30,""),"")</f>
        <v>347272.39752667467</v>
      </c>
      <c r="C31" s="83">
        <f>IFERROR(B31*$I$4/12,"")</f>
        <v>975.2566497207448</v>
      </c>
      <c r="D31" s="84">
        <f>IFERROR(F31-C31,"")</f>
        <v>637.3844771329592</v>
      </c>
      <c r="E31" s="83">
        <f>IF(A31&lt;&gt;"",$I$6,"")</f>
        <v>1612.641126853704</v>
      </c>
      <c r="F31" s="84">
        <f>IF(A31&lt;&gt;"",$I$6,"")</f>
        <v>1612.641126853704</v>
      </c>
      <c r="G31" s="6"/>
      <c r="H31" s="6"/>
      <c r="I31" s="6"/>
    </row>
    <row r="32" spans="1:9" x14ac:dyDescent="0.2">
      <c r="A32" s="7">
        <v>31</v>
      </c>
      <c r="B32" s="83">
        <f>IFERROR(IF(B31-D31&gt;=0.01,B31-D31,""),"")</f>
        <v>346635.01304954174</v>
      </c>
      <c r="C32" s="83">
        <f>IFERROR(B32*$I$4/12,"")</f>
        <v>973.46666164746318</v>
      </c>
      <c r="D32" s="84">
        <f>IFERROR(F32-C32,"")</f>
        <v>639.17446520624082</v>
      </c>
      <c r="E32" s="83">
        <f>IF(A32&lt;&gt;"",$I$6,"")</f>
        <v>1612.641126853704</v>
      </c>
      <c r="F32" s="84">
        <f>IF(A32&lt;&gt;"",$I$6,"")</f>
        <v>1612.641126853704</v>
      </c>
      <c r="G32" s="6"/>
      <c r="H32" s="6"/>
      <c r="I32" s="6"/>
    </row>
    <row r="33" spans="1:9" x14ac:dyDescent="0.2">
      <c r="A33" s="7">
        <v>32</v>
      </c>
      <c r="B33" s="83">
        <f>IFERROR(IF(B32-D32&gt;=0.01,B32-D32,""),"")</f>
        <v>345995.83858433552</v>
      </c>
      <c r="C33" s="83">
        <f>IFERROR(B33*$I$4/12,"")</f>
        <v>971.67164669100896</v>
      </c>
      <c r="D33" s="84">
        <f>IFERROR(F33-C33,"")</f>
        <v>640.96948016269505</v>
      </c>
      <c r="E33" s="83">
        <f>IF(A33&lt;&gt;"",$I$6,"")</f>
        <v>1612.641126853704</v>
      </c>
      <c r="F33" s="84">
        <f>IF(A33&lt;&gt;"",$I$6,"")</f>
        <v>1612.641126853704</v>
      </c>
      <c r="G33" s="6"/>
      <c r="H33" s="6"/>
      <c r="I33" s="6"/>
    </row>
    <row r="34" spans="1:9" x14ac:dyDescent="0.2">
      <c r="A34" s="7">
        <v>33</v>
      </c>
      <c r="B34" s="83">
        <f>IFERROR(IF(B33-D33&gt;=0.01,B33-D33,""),"")</f>
        <v>345354.8691041728</v>
      </c>
      <c r="C34" s="83">
        <f>IFERROR(B34*$I$4/12,"")</f>
        <v>969.87159073421856</v>
      </c>
      <c r="D34" s="84">
        <f>IFERROR(F34-C34,"")</f>
        <v>642.76953611948545</v>
      </c>
      <c r="E34" s="83">
        <f>IF(A34&lt;&gt;"",$I$6,"")</f>
        <v>1612.641126853704</v>
      </c>
      <c r="F34" s="84">
        <f>IF(A34&lt;&gt;"",$I$6,"")</f>
        <v>1612.641126853704</v>
      </c>
      <c r="G34" s="6"/>
      <c r="H34" s="6"/>
      <c r="I34" s="6"/>
    </row>
    <row r="35" spans="1:9" x14ac:dyDescent="0.2">
      <c r="A35" s="7">
        <v>34</v>
      </c>
      <c r="B35" s="83">
        <f>IFERROR(IF(B34-D34&gt;=0.01,B34-D34,""),"")</f>
        <v>344712.09956805332</v>
      </c>
      <c r="C35" s="83">
        <f>IFERROR(B35*$I$4/12,"")</f>
        <v>968.06647962028308</v>
      </c>
      <c r="D35" s="84">
        <f>IFERROR(F35-C35,"")</f>
        <v>644.57464723342093</v>
      </c>
      <c r="E35" s="83">
        <f>IF(A35&lt;&gt;"",$I$6,"")</f>
        <v>1612.641126853704</v>
      </c>
      <c r="F35" s="84">
        <f>IF(A35&lt;&gt;"",$I$6,"")</f>
        <v>1612.641126853704</v>
      </c>
      <c r="G35" s="6"/>
      <c r="H35" s="6"/>
      <c r="I35" s="6"/>
    </row>
    <row r="36" spans="1:9" x14ac:dyDescent="0.2">
      <c r="A36" s="7">
        <v>35</v>
      </c>
      <c r="B36" s="83">
        <f>IFERROR(IF(B35-D35&gt;=0.01,B35-D35,""),"")</f>
        <v>344067.52492081991</v>
      </c>
      <c r="C36" s="83">
        <f>IFERROR(B36*$I$4/12,"")</f>
        <v>966.25629915263596</v>
      </c>
      <c r="D36" s="84">
        <f>IFERROR(F36-C36,"")</f>
        <v>646.38482770106805</v>
      </c>
      <c r="E36" s="83">
        <f>IF(A36&lt;&gt;"",$I$6,"")</f>
        <v>1612.641126853704</v>
      </c>
      <c r="F36" s="84">
        <f>IF(A36&lt;&gt;"",$I$6,"")</f>
        <v>1612.641126853704</v>
      </c>
      <c r="G36" s="6"/>
      <c r="H36" s="6"/>
      <c r="I36" s="6"/>
    </row>
    <row r="37" spans="1:9" x14ac:dyDescent="0.2">
      <c r="A37" s="7">
        <v>36</v>
      </c>
      <c r="B37" s="83">
        <f>IFERROR(IF(B36-D36&gt;=0.01,B36-D36,""),"")</f>
        <v>343421.14009311883</v>
      </c>
      <c r="C37" s="83">
        <f>IFERROR(B37*$I$4/12,"")</f>
        <v>964.44103509484205</v>
      </c>
      <c r="D37" s="84">
        <f>IFERROR(F37-C37,"")</f>
        <v>648.20009175886196</v>
      </c>
      <c r="E37" s="83">
        <f>IF(A37&lt;&gt;"",$I$6,"")</f>
        <v>1612.641126853704</v>
      </c>
      <c r="F37" s="84">
        <f>IF(A37&lt;&gt;"",$I$6,"")</f>
        <v>1612.641126853704</v>
      </c>
      <c r="G37" s="6"/>
      <c r="H37" s="6"/>
      <c r="I37" s="6"/>
    </row>
    <row r="38" spans="1:9" x14ac:dyDescent="0.2">
      <c r="A38" s="7">
        <v>37</v>
      </c>
      <c r="B38" s="83">
        <f>IFERROR(IF(B37-D37&gt;=0.01,B37-D37,""),"")</f>
        <v>342772.94000135997</v>
      </c>
      <c r="C38" s="83">
        <f>IFERROR(B38*$I$4/12,"")</f>
        <v>962.62067317048593</v>
      </c>
      <c r="D38" s="84">
        <f>IFERROR(F38-C38,"")</f>
        <v>650.02045368321808</v>
      </c>
      <c r="E38" s="83">
        <f>IF(A38&lt;&gt;"",$I$6,"")</f>
        <v>1612.641126853704</v>
      </c>
      <c r="F38" s="84">
        <f>IF(A38&lt;&gt;"",$I$6,"")</f>
        <v>1612.641126853704</v>
      </c>
      <c r="G38" s="6"/>
      <c r="H38" s="6"/>
      <c r="I38" s="6"/>
    </row>
    <row r="39" spans="1:9" x14ac:dyDescent="0.2">
      <c r="A39" s="7">
        <v>38</v>
      </c>
      <c r="B39" s="83">
        <f>IFERROR(IF(B38-D38&gt;=0.01,B38-D38,""),"")</f>
        <v>342122.91954767675</v>
      </c>
      <c r="C39" s="83">
        <f>IFERROR(B39*$I$4/12,"")</f>
        <v>960.79519906305893</v>
      </c>
      <c r="D39" s="84">
        <f>IFERROR(F39-C39,"")</f>
        <v>651.84592779064508</v>
      </c>
      <c r="E39" s="83">
        <f>IF(A39&lt;&gt;"",$I$6,"")</f>
        <v>1612.641126853704</v>
      </c>
      <c r="F39" s="84">
        <f>IF(A39&lt;&gt;"",$I$6,"")</f>
        <v>1612.641126853704</v>
      </c>
      <c r="G39" s="6"/>
      <c r="H39" s="6"/>
      <c r="I39" s="6"/>
    </row>
    <row r="40" spans="1:9" x14ac:dyDescent="0.2">
      <c r="A40" s="7">
        <v>39</v>
      </c>
      <c r="B40" s="83">
        <f>IFERROR(IF(B39-D39&gt;=0.01,B39-D39,""),"")</f>
        <v>341471.07361988613</v>
      </c>
      <c r="C40" s="83">
        <f>IFERROR(B40*$I$4/12,"")</f>
        <v>958.96459841584692</v>
      </c>
      <c r="D40" s="84">
        <f>IFERROR(F40-C40,"")</f>
        <v>653.67652843785709</v>
      </c>
      <c r="E40" s="83">
        <f>IF(A40&lt;&gt;"",$I$6,"")</f>
        <v>1612.641126853704</v>
      </c>
      <c r="F40" s="84">
        <f>IF(A40&lt;&gt;"",$I$6,"")</f>
        <v>1612.641126853704</v>
      </c>
      <c r="G40" s="6"/>
      <c r="H40" s="6"/>
      <c r="I40" s="6"/>
    </row>
    <row r="41" spans="1:9" x14ac:dyDescent="0.2">
      <c r="A41" s="7">
        <v>40</v>
      </c>
      <c r="B41" s="83">
        <f>IFERROR(IF(B40-D40&gt;=0.01,B40-D40,""),"")</f>
        <v>340817.39709144825</v>
      </c>
      <c r="C41" s="83">
        <f>IFERROR(B41*$I$4/12,"")</f>
        <v>957.12885683181719</v>
      </c>
      <c r="D41" s="84">
        <f>IFERROR(F41-C41,"")</f>
        <v>655.51227002188682</v>
      </c>
      <c r="E41" s="83">
        <f>IF(A41&lt;&gt;"",$I$6,"")</f>
        <v>1612.641126853704</v>
      </c>
      <c r="F41" s="84">
        <f>IF(A41&lt;&gt;"",$I$6,"")</f>
        <v>1612.641126853704</v>
      </c>
      <c r="G41" s="6"/>
      <c r="H41" s="6"/>
      <c r="I41" s="6"/>
    </row>
    <row r="42" spans="1:9" x14ac:dyDescent="0.2">
      <c r="A42" s="7">
        <v>41</v>
      </c>
      <c r="B42" s="83">
        <f>IFERROR(IF(B41-D41&gt;=0.01,B41-D41,""),"")</f>
        <v>340161.88482142636</v>
      </c>
      <c r="C42" s="83">
        <f>IFERROR(B42*$I$4/12,"")</f>
        <v>955.28795987350577</v>
      </c>
      <c r="D42" s="84">
        <f>IFERROR(F42-C42,"")</f>
        <v>657.35316698019824</v>
      </c>
      <c r="E42" s="83">
        <f>IF(A42&lt;&gt;"",$I$6,"")</f>
        <v>1612.641126853704</v>
      </c>
      <c r="F42" s="84">
        <f>IF(A42&lt;&gt;"",$I$6,"")</f>
        <v>1612.641126853704</v>
      </c>
      <c r="G42" s="6"/>
      <c r="H42" s="6"/>
      <c r="I42" s="6"/>
    </row>
    <row r="43" spans="1:9" x14ac:dyDescent="0.2">
      <c r="A43" s="7">
        <v>42</v>
      </c>
      <c r="B43" s="83">
        <f>IFERROR(IF(B42-D42&gt;=0.01,B42-D42,""),"")</f>
        <v>339504.53165444615</v>
      </c>
      <c r="C43" s="83">
        <f>IFERROR(B43*$I$4/12,"")</f>
        <v>953.44189306290298</v>
      </c>
      <c r="D43" s="84">
        <f>IFERROR(F43-C43,"")</f>
        <v>659.19923379080103</v>
      </c>
      <c r="E43" s="83">
        <f>IF(A43&lt;&gt;"",$I$6,"")</f>
        <v>1612.641126853704</v>
      </c>
      <c r="F43" s="84">
        <f>IF(A43&lt;&gt;"",$I$6,"")</f>
        <v>1612.641126853704</v>
      </c>
      <c r="G43" s="6"/>
      <c r="H43" s="6"/>
      <c r="I43" s="6"/>
    </row>
    <row r="44" spans="1:9" x14ac:dyDescent="0.2">
      <c r="A44" s="7">
        <v>43</v>
      </c>
      <c r="B44" s="83">
        <f>IFERROR(IF(B43-D43&gt;=0.01,B43-D43,""),"")</f>
        <v>338845.33242065535</v>
      </c>
      <c r="C44" s="83">
        <f>IFERROR(B44*$I$4/12,"")</f>
        <v>951.5906418813405</v>
      </c>
      <c r="D44" s="84">
        <f>IFERROR(F44-C44,"")</f>
        <v>661.05048497236351</v>
      </c>
      <c r="E44" s="83">
        <f>IF(A44&lt;&gt;"",$I$6,"")</f>
        <v>1612.641126853704</v>
      </c>
      <c r="F44" s="84">
        <f>IF(A44&lt;&gt;"",$I$6,"")</f>
        <v>1612.641126853704</v>
      </c>
      <c r="G44" s="6"/>
      <c r="H44" s="6"/>
      <c r="I44" s="6"/>
    </row>
    <row r="45" spans="1:9" x14ac:dyDescent="0.2">
      <c r="A45" s="7">
        <v>44</v>
      </c>
      <c r="B45" s="83">
        <f>IFERROR(IF(B44-D44&gt;=0.01,B44-D44,""),"")</f>
        <v>338184.28193568299</v>
      </c>
      <c r="C45" s="83">
        <f>IFERROR(B45*$I$4/12,"")</f>
        <v>949.73419176937648</v>
      </c>
      <c r="D45" s="84">
        <f>IFERROR(F45-C45,"")</f>
        <v>662.90693508432753</v>
      </c>
      <c r="E45" s="83">
        <f>IF(A45&lt;&gt;"",$I$6,"")</f>
        <v>1612.641126853704</v>
      </c>
      <c r="F45" s="84">
        <f>IF(A45&lt;&gt;"",$I$6,"")</f>
        <v>1612.641126853704</v>
      </c>
      <c r="G45" s="6"/>
      <c r="H45" s="6"/>
      <c r="I45" s="6"/>
    </row>
    <row r="46" spans="1:9" x14ac:dyDescent="0.2">
      <c r="A46" s="7">
        <v>45</v>
      </c>
      <c r="B46" s="83">
        <f>IFERROR(IF(B45-D45&gt;=0.01,B45-D45,""),"")</f>
        <v>337521.37500059867</v>
      </c>
      <c r="C46" s="83">
        <f>IFERROR(B46*$I$4/12,"")</f>
        <v>947.87252812668123</v>
      </c>
      <c r="D46" s="84">
        <f>IFERROR(F46-C46,"")</f>
        <v>664.76859872702278</v>
      </c>
      <c r="E46" s="83">
        <f>IF(A46&lt;&gt;"",$I$6,"")</f>
        <v>1612.641126853704</v>
      </c>
      <c r="F46" s="84">
        <f>IF(A46&lt;&gt;"",$I$6,"")</f>
        <v>1612.641126853704</v>
      </c>
      <c r="G46" s="6"/>
      <c r="H46" s="6"/>
      <c r="I46" s="6"/>
    </row>
    <row r="47" spans="1:9" x14ac:dyDescent="0.2">
      <c r="A47" s="7">
        <v>46</v>
      </c>
      <c r="B47" s="83">
        <f>IFERROR(IF(B46-D46&gt;=0.01,B46-D46,""),"")</f>
        <v>336856.60640187166</v>
      </c>
      <c r="C47" s="83">
        <f>IFERROR(B47*$I$4/12,"")</f>
        <v>946.0056363119229</v>
      </c>
      <c r="D47" s="84">
        <f>IFERROR(F47-C47,"")</f>
        <v>666.63549054178111</v>
      </c>
      <c r="E47" s="83">
        <f>IF(A47&lt;&gt;"",$I$6,"")</f>
        <v>1612.641126853704</v>
      </c>
      <c r="F47" s="84">
        <f>IF(A47&lt;&gt;"",$I$6,"")</f>
        <v>1612.641126853704</v>
      </c>
      <c r="G47" s="6"/>
      <c r="H47" s="6"/>
      <c r="I47" s="6"/>
    </row>
    <row r="48" spans="1:9" x14ac:dyDescent="0.2">
      <c r="A48" s="7">
        <v>47</v>
      </c>
      <c r="B48" s="83">
        <f>IFERROR(IF(B47-D47&gt;=0.01,B47-D47,""),"")</f>
        <v>336189.9709113299</v>
      </c>
      <c r="C48" s="83">
        <f>IFERROR(B48*$I$4/12,"")</f>
        <v>944.13350164265148</v>
      </c>
      <c r="D48" s="84">
        <f>IFERROR(F48-C48,"")</f>
        <v>668.50762521105253</v>
      </c>
      <c r="E48" s="83">
        <f>IF(A48&lt;&gt;"",$I$6,"")</f>
        <v>1612.641126853704</v>
      </c>
      <c r="F48" s="84">
        <f>IF(A48&lt;&gt;"",$I$6,"")</f>
        <v>1612.641126853704</v>
      </c>
      <c r="G48" s="6"/>
      <c r="H48" s="6"/>
      <c r="I48" s="6"/>
    </row>
    <row r="49" spans="1:9" x14ac:dyDescent="0.2">
      <c r="A49" s="7">
        <v>48</v>
      </c>
      <c r="B49" s="83">
        <f>IFERROR(IF(B48-D48&gt;=0.01,B48-D48,""),"")</f>
        <v>335521.46328611887</v>
      </c>
      <c r="C49" s="83">
        <f>IFERROR(B49*$I$4/12,"")</f>
        <v>942.2561093951839</v>
      </c>
      <c r="D49" s="84">
        <f>IFERROR(F49-C49,"")</f>
        <v>670.38501745852011</v>
      </c>
      <c r="E49" s="83">
        <f>IF(A49&lt;&gt;"",$I$6,"")</f>
        <v>1612.641126853704</v>
      </c>
      <c r="F49" s="84">
        <f>IF(A49&lt;&gt;"",$I$6,"")</f>
        <v>1612.641126853704</v>
      </c>
      <c r="G49" s="6"/>
      <c r="H49" s="6"/>
      <c r="I49" s="6"/>
    </row>
    <row r="50" spans="1:9" x14ac:dyDescent="0.2">
      <c r="A50" s="7">
        <v>49</v>
      </c>
      <c r="B50" s="83">
        <f>IFERROR(IF(B49-D49&gt;=0.01,B49-D49,""),"")</f>
        <v>334851.07826866035</v>
      </c>
      <c r="C50" s="83">
        <f>IFERROR(B50*$I$4/12,"")</f>
        <v>940.3734448044878</v>
      </c>
      <c r="D50" s="84">
        <f>IFERROR(F50-C50,"")</f>
        <v>672.26768204921621</v>
      </c>
      <c r="E50" s="83">
        <f>IF(A50&lt;&gt;"",$I$6,"")</f>
        <v>1612.641126853704</v>
      </c>
      <c r="F50" s="84">
        <f>IF(A50&lt;&gt;"",$I$6,"")</f>
        <v>1612.641126853704</v>
      </c>
      <c r="G50" s="6"/>
      <c r="H50" s="6"/>
      <c r="I50" s="6"/>
    </row>
    <row r="51" spans="1:9" x14ac:dyDescent="0.2">
      <c r="A51" s="7">
        <v>50</v>
      </c>
      <c r="B51" s="83">
        <f>IFERROR(IF(B50-D50&gt;=0.01,B50-D50,""),"")</f>
        <v>334178.81058661116</v>
      </c>
      <c r="C51" s="83">
        <f>IFERROR(B51*$I$4/12,"")</f>
        <v>938.4854930640663</v>
      </c>
      <c r="D51" s="84">
        <f>IFERROR(F51-C51,"")</f>
        <v>674.1556337896377</v>
      </c>
      <c r="E51" s="83">
        <f>IF(A51&lt;&gt;"",$I$6,"")</f>
        <v>1612.641126853704</v>
      </c>
      <c r="F51" s="84">
        <f>IF(A51&lt;&gt;"",$I$6,"")</f>
        <v>1612.641126853704</v>
      </c>
      <c r="G51" s="6"/>
      <c r="H51" s="6"/>
      <c r="I51" s="6"/>
    </row>
    <row r="52" spans="1:9" x14ac:dyDescent="0.2">
      <c r="A52" s="7">
        <v>51</v>
      </c>
      <c r="B52" s="83">
        <f>IFERROR(IF(B51-D51&gt;=0.01,B51-D51,""),"")</f>
        <v>333504.6549528215</v>
      </c>
      <c r="C52" s="83">
        <f>IFERROR(B52*$I$4/12,"")</f>
        <v>936.5922393258403</v>
      </c>
      <c r="D52" s="84">
        <f>IFERROR(F52-C52,"")</f>
        <v>676.04888752786371</v>
      </c>
      <c r="E52" s="83">
        <f>IF(A52&lt;&gt;"",$I$6,"")</f>
        <v>1612.641126853704</v>
      </c>
      <c r="F52" s="84">
        <f>IF(A52&lt;&gt;"",$I$6,"")</f>
        <v>1612.641126853704</v>
      </c>
      <c r="G52" s="6"/>
      <c r="H52" s="6"/>
      <c r="I52" s="6"/>
    </row>
    <row r="53" spans="1:9" x14ac:dyDescent="0.2">
      <c r="A53" s="7">
        <v>52</v>
      </c>
      <c r="B53" s="83">
        <f>IFERROR(IF(B52-D52&gt;=0.01,B52-D52,""),"")</f>
        <v>332828.60606529366</v>
      </c>
      <c r="C53" s="83">
        <f>IFERROR(B53*$I$4/12,"")</f>
        <v>934.69366870003307</v>
      </c>
      <c r="D53" s="84">
        <f>IFERROR(F53-C53,"")</f>
        <v>677.94745815367094</v>
      </c>
      <c r="E53" s="83">
        <f>IF(A53&lt;&gt;"",$I$6,"")</f>
        <v>1612.641126853704</v>
      </c>
      <c r="F53" s="84">
        <f>IF(A53&lt;&gt;"",$I$6,"")</f>
        <v>1612.641126853704</v>
      </c>
      <c r="G53" s="6"/>
      <c r="H53" s="6"/>
      <c r="I53" s="6"/>
    </row>
    <row r="54" spans="1:9" x14ac:dyDescent="0.2">
      <c r="A54" s="7">
        <v>53</v>
      </c>
      <c r="B54" s="83">
        <f>IFERROR(IF(B53-D53&gt;=0.01,B53-D53,""),"")</f>
        <v>332150.65860714001</v>
      </c>
      <c r="C54" s="83">
        <f>IFERROR(B54*$I$4/12,"")</f>
        <v>932.78976625505163</v>
      </c>
      <c r="D54" s="84">
        <f>IFERROR(F54-C54,"")</f>
        <v>679.85136059865238</v>
      </c>
      <c r="E54" s="83">
        <f>IF(A54&lt;&gt;"",$I$6,"")</f>
        <v>1612.641126853704</v>
      </c>
      <c r="F54" s="84">
        <f>IF(A54&lt;&gt;"",$I$6,"")</f>
        <v>1612.641126853704</v>
      </c>
      <c r="G54" s="6"/>
      <c r="H54" s="6"/>
      <c r="I54" s="6"/>
    </row>
    <row r="55" spans="1:9" x14ac:dyDescent="0.2">
      <c r="A55" s="7">
        <v>54</v>
      </c>
      <c r="B55" s="83">
        <f>IFERROR(IF(B54-D54&gt;=0.01,B54-D54,""),"")</f>
        <v>331470.80724654137</v>
      </c>
      <c r="C55" s="83">
        <f>IFERROR(B55*$I$4/12,"")</f>
        <v>930.88051701737038</v>
      </c>
      <c r="D55" s="84">
        <f>IFERROR(F55-C55,"")</f>
        <v>681.76060983633363</v>
      </c>
      <c r="E55" s="83">
        <f>IF(A55&lt;&gt;"",$I$6,"")</f>
        <v>1612.641126853704</v>
      </c>
      <c r="F55" s="84">
        <f>IF(A55&lt;&gt;"",$I$6,"")</f>
        <v>1612.641126853704</v>
      </c>
      <c r="G55" s="6"/>
      <c r="H55" s="6"/>
      <c r="I55" s="6"/>
    </row>
    <row r="56" spans="1:9" x14ac:dyDescent="0.2">
      <c r="A56" s="7">
        <v>55</v>
      </c>
      <c r="B56" s="83">
        <f>IFERROR(IF(B55-D55&gt;=0.01,B55-D55,""),"")</f>
        <v>330789.04663670505</v>
      </c>
      <c r="C56" s="83">
        <f>IFERROR(B56*$I$4/12,"")</f>
        <v>928.96590597141346</v>
      </c>
      <c r="D56" s="84">
        <f>IFERROR(F56-C56,"")</f>
        <v>683.67522088229055</v>
      </c>
      <c r="E56" s="83">
        <f>IF(A56&lt;&gt;"",$I$6,"")</f>
        <v>1612.641126853704</v>
      </c>
      <c r="F56" s="84">
        <f>IF(A56&lt;&gt;"",$I$6,"")</f>
        <v>1612.641126853704</v>
      </c>
      <c r="G56" s="6"/>
      <c r="H56" s="6"/>
      <c r="I56" s="6"/>
    </row>
    <row r="57" spans="1:9" x14ac:dyDescent="0.2">
      <c r="A57" s="7">
        <v>56</v>
      </c>
      <c r="B57" s="83">
        <f>IFERROR(IF(B56-D56&gt;=0.01,B56-D56,""),"")</f>
        <v>330105.37141582277</v>
      </c>
      <c r="C57" s="83">
        <f>IFERROR(B57*$I$4/12,"")</f>
        <v>927.04591805943562</v>
      </c>
      <c r="D57" s="84">
        <f>IFERROR(F57-C57,"")</f>
        <v>685.59520879426839</v>
      </c>
      <c r="E57" s="83">
        <f>IF(A57&lt;&gt;"",$I$6,"")</f>
        <v>1612.641126853704</v>
      </c>
      <c r="F57" s="84">
        <f>IF(A57&lt;&gt;"",$I$6,"")</f>
        <v>1612.641126853704</v>
      </c>
      <c r="G57" s="6"/>
      <c r="H57" s="6"/>
      <c r="I57" s="6"/>
    </row>
    <row r="58" spans="1:9" x14ac:dyDescent="0.2">
      <c r="A58" s="7">
        <v>57</v>
      </c>
      <c r="B58" s="83">
        <f>IFERROR(IF(B57-D57&gt;=0.01,B57-D57,""),"")</f>
        <v>329419.77620702848</v>
      </c>
      <c r="C58" s="83">
        <f>IFERROR(B58*$I$4/12,"")</f>
        <v>925.1205381814051</v>
      </c>
      <c r="D58" s="84">
        <f>IFERROR(F58-C58,"")</f>
        <v>687.52058867229891</v>
      </c>
      <c r="E58" s="83">
        <f>IF(A58&lt;&gt;"",$I$6,"")</f>
        <v>1612.641126853704</v>
      </c>
      <c r="F58" s="84">
        <f>IF(A58&lt;&gt;"",$I$6,"")</f>
        <v>1612.641126853704</v>
      </c>
      <c r="G58" s="6"/>
      <c r="H58" s="6"/>
      <c r="I58" s="6"/>
    </row>
    <row r="59" spans="1:9" x14ac:dyDescent="0.2">
      <c r="A59" s="7">
        <v>58</v>
      </c>
      <c r="B59" s="83">
        <f>IFERROR(IF(B58-D58&gt;=0.01,B58-D58,""),"")</f>
        <v>328732.25561835617</v>
      </c>
      <c r="C59" s="83">
        <f>IFERROR(B59*$I$4/12,"")</f>
        <v>923.18975119488357</v>
      </c>
      <c r="D59" s="84">
        <f>IFERROR(F59-C59,"")</f>
        <v>689.45137565882044</v>
      </c>
      <c r="E59" s="83">
        <f>IF(A59&lt;&gt;"",$I$6,"")</f>
        <v>1612.641126853704</v>
      </c>
      <c r="F59" s="84">
        <f>IF(A59&lt;&gt;"",$I$6,"")</f>
        <v>1612.641126853704</v>
      </c>
      <c r="G59" s="6"/>
      <c r="H59" s="6"/>
      <c r="I59" s="6"/>
    </row>
    <row r="60" spans="1:9" x14ac:dyDescent="0.2">
      <c r="A60" s="7">
        <v>59</v>
      </c>
      <c r="B60" s="83">
        <f>IFERROR(IF(B59-D59&gt;=0.01,B59-D59,""),"")</f>
        <v>328042.80424269737</v>
      </c>
      <c r="C60" s="83">
        <f>IFERROR(B60*$I$4/12,"")</f>
        <v>921.25354191490851</v>
      </c>
      <c r="D60" s="84">
        <f>IFERROR(F60-C60,"")</f>
        <v>691.3875849387955</v>
      </c>
      <c r="E60" s="83">
        <f>IF(A60&lt;&gt;"",$I$6,"")</f>
        <v>1612.641126853704</v>
      </c>
      <c r="F60" s="84">
        <f>IF(A60&lt;&gt;"",$I$6,"")</f>
        <v>1612.641126853704</v>
      </c>
      <c r="G60" s="6"/>
      <c r="H60" s="6"/>
      <c r="I60" s="6"/>
    </row>
    <row r="61" spans="1:9" x14ac:dyDescent="0.2">
      <c r="A61" s="7">
        <v>60</v>
      </c>
      <c r="B61" s="83">
        <f>IFERROR(IF(B60-D60&gt;=0.01,B60-D60,""),"")</f>
        <v>327351.41665775859</v>
      </c>
      <c r="C61" s="83">
        <f>IFERROR(B61*$I$4/12,"")</f>
        <v>919.31189511387208</v>
      </c>
      <c r="D61" s="84">
        <f>IFERROR(F61-C61,"")</f>
        <v>693.32923173983193</v>
      </c>
      <c r="E61" s="83">
        <f>IF(A61&lt;&gt;"",$I$6,"")</f>
        <v>1612.641126853704</v>
      </c>
      <c r="F61" s="84">
        <f>IF(A61&lt;&gt;"",$I$6,"")</f>
        <v>1612.641126853704</v>
      </c>
      <c r="G61" s="6"/>
      <c r="H61" s="6"/>
      <c r="I61" s="6"/>
    </row>
    <row r="62" spans="1:9" x14ac:dyDescent="0.2">
      <c r="A62" s="7">
        <v>61</v>
      </c>
      <c r="B62" s="83">
        <f>IFERROR(IF(B61-D61&gt;=0.01,B61-D61,""),"")</f>
        <v>326658.08742601873</v>
      </c>
      <c r="C62" s="83">
        <f>IFERROR(B62*$I$4/12,"")</f>
        <v>917.3647955214027</v>
      </c>
      <c r="D62" s="84">
        <f>IFERROR(F62-C62,"")</f>
        <v>695.27633133230131</v>
      </c>
      <c r="E62" s="83">
        <f>IF(A62&lt;&gt;"",$I$6,"")</f>
        <v>1612.641126853704</v>
      </c>
      <c r="F62" s="84">
        <f>IF(A62&lt;&gt;"",$I$6,"")</f>
        <v>1612.641126853704</v>
      </c>
      <c r="G62" s="6"/>
      <c r="H62" s="6"/>
      <c r="I62" s="6"/>
    </row>
    <row r="63" spans="1:9" x14ac:dyDescent="0.2">
      <c r="A63" s="7">
        <v>62</v>
      </c>
      <c r="B63" s="83">
        <f>IFERROR(IF(B62-D62&gt;=0.01,B62-D62,""),"")</f>
        <v>325962.81109468645</v>
      </c>
      <c r="C63" s="83">
        <f>IFERROR(B63*$I$4/12,"")</f>
        <v>915.4122278242445</v>
      </c>
      <c r="D63" s="84">
        <f>IFERROR(F63-C63,"")</f>
        <v>697.22889902945951</v>
      </c>
      <c r="E63" s="83">
        <f>IF(A63&lt;&gt;"",$I$6,"")</f>
        <v>1612.641126853704</v>
      </c>
      <c r="F63" s="84">
        <f>IF(A63&lt;&gt;"",$I$6,"")</f>
        <v>1612.641126853704</v>
      </c>
      <c r="G63" s="6"/>
      <c r="H63" s="6"/>
      <c r="I63" s="6"/>
    </row>
    <row r="64" spans="1:9" x14ac:dyDescent="0.2">
      <c r="A64" s="7">
        <v>63</v>
      </c>
      <c r="B64" s="83">
        <f>IFERROR(IF(B63-D63&gt;=0.01,B63-D63,""),"")</f>
        <v>325265.58219565701</v>
      </c>
      <c r="C64" s="83">
        <f>IFERROR(B64*$I$4/12,"")</f>
        <v>913.45417666613685</v>
      </c>
      <c r="D64" s="84">
        <f>IFERROR(F64-C64,"")</f>
        <v>699.18695018756716</v>
      </c>
      <c r="E64" s="83">
        <f>IF(A64&lt;&gt;"",$I$6,"")</f>
        <v>1612.641126853704</v>
      </c>
      <c r="F64" s="84">
        <f>IF(A64&lt;&gt;"",$I$6,"")</f>
        <v>1612.641126853704</v>
      </c>
      <c r="G64" s="6"/>
      <c r="H64" s="6"/>
      <c r="I64" s="6"/>
    </row>
    <row r="65" spans="1:9" x14ac:dyDescent="0.2">
      <c r="A65" s="7">
        <v>64</v>
      </c>
      <c r="B65" s="83">
        <f>IFERROR(IF(B64-D64&gt;=0.01,B64-D64,""),"")</f>
        <v>324566.39524546947</v>
      </c>
      <c r="C65" s="83">
        <f>IFERROR(B65*$I$4/12,"")</f>
        <v>911.49062664769338</v>
      </c>
      <c r="D65" s="84">
        <f>IFERROR(F65-C65,"")</f>
        <v>701.15050020601063</v>
      </c>
      <c r="E65" s="83">
        <f>IF(A65&lt;&gt;"",$I$6,"")</f>
        <v>1612.641126853704</v>
      </c>
      <c r="F65" s="84">
        <f>IF(A65&lt;&gt;"",$I$6,"")</f>
        <v>1612.641126853704</v>
      </c>
      <c r="G65" s="6"/>
      <c r="H65" s="6"/>
      <c r="I65" s="6"/>
    </row>
    <row r="66" spans="1:9" x14ac:dyDescent="0.2">
      <c r="A66" s="7">
        <v>65</v>
      </c>
      <c r="B66" s="83">
        <f>IFERROR(IF(B65-D65&gt;=0.01,B65-D65,""),"")</f>
        <v>323865.24474526348</v>
      </c>
      <c r="C66" s="83">
        <f>IFERROR(B66*$I$4/12,"")</f>
        <v>909.52156232628158</v>
      </c>
      <c r="D66" s="84">
        <f>IFERROR(F66-C66,"")</f>
        <v>703.11956452742243</v>
      </c>
      <c r="E66" s="83">
        <f>IF(A66&lt;&gt;"",$I$6,"")</f>
        <v>1612.641126853704</v>
      </c>
      <c r="F66" s="84">
        <f>IF(A66&lt;&gt;"",$I$6,"")</f>
        <v>1612.641126853704</v>
      </c>
      <c r="G66" s="6"/>
      <c r="H66" s="6"/>
      <c r="I66" s="6"/>
    </row>
    <row r="67" spans="1:9" x14ac:dyDescent="0.2">
      <c r="A67" s="7">
        <v>66</v>
      </c>
      <c r="B67" s="83">
        <f>IFERROR(IF(B66-D66&gt;=0.01,B66-D66,""),"")</f>
        <v>323162.12518073607</v>
      </c>
      <c r="C67" s="83">
        <f>IFERROR(B67*$I$4/12,"")</f>
        <v>907.54696821590051</v>
      </c>
      <c r="D67" s="84">
        <f>IFERROR(F67-C67,"")</f>
        <v>705.0941586378035</v>
      </c>
      <c r="E67" s="83">
        <f>IF(A67&lt;&gt;"",$I$6,"")</f>
        <v>1612.641126853704</v>
      </c>
      <c r="F67" s="84">
        <f>IF(A67&lt;&gt;"",$I$6,"")</f>
        <v>1612.641126853704</v>
      </c>
      <c r="G67" s="6"/>
      <c r="H67" s="6"/>
      <c r="I67" s="6"/>
    </row>
    <row r="68" spans="1:9" x14ac:dyDescent="0.2">
      <c r="A68" s="7">
        <v>67</v>
      </c>
      <c r="B68" s="83">
        <f>IFERROR(IF(B67-D67&gt;=0.01,B67-D67,""),"")</f>
        <v>322457.03102209826</v>
      </c>
      <c r="C68" s="83">
        <f>IFERROR(B68*$I$4/12,"")</f>
        <v>905.56682878705931</v>
      </c>
      <c r="D68" s="84">
        <f>IFERROR(F68-C68,"")</f>
        <v>707.0742980666447</v>
      </c>
      <c r="E68" s="83">
        <f>IF(A68&lt;&gt;"",$I$6,"")</f>
        <v>1612.641126853704</v>
      </c>
      <c r="F68" s="84">
        <f>IF(A68&lt;&gt;"",$I$6,"")</f>
        <v>1612.641126853704</v>
      </c>
      <c r="G68" s="6"/>
      <c r="H68" s="6"/>
      <c r="I68" s="6"/>
    </row>
    <row r="69" spans="1:9" x14ac:dyDescent="0.2">
      <c r="A69" s="7">
        <v>68</v>
      </c>
      <c r="B69" s="83">
        <f>IFERROR(IF(B68-D68&gt;=0.01,B68-D68,""),"")</f>
        <v>321749.9567240316</v>
      </c>
      <c r="C69" s="83">
        <f>IFERROR(B69*$I$4/12,"")</f>
        <v>903.58112846665551</v>
      </c>
      <c r="D69" s="84">
        <f>IFERROR(F69-C69,"")</f>
        <v>709.05999838704849</v>
      </c>
      <c r="E69" s="83">
        <f>IF(A69&lt;&gt;"",$I$6,"")</f>
        <v>1612.641126853704</v>
      </c>
      <c r="F69" s="84">
        <f>IF(A69&lt;&gt;"",$I$6,"")</f>
        <v>1612.641126853704</v>
      </c>
      <c r="G69" s="6"/>
      <c r="H69" s="6"/>
      <c r="I69" s="6"/>
    </row>
    <row r="70" spans="1:9" x14ac:dyDescent="0.2">
      <c r="A70" s="7">
        <v>69</v>
      </c>
      <c r="B70" s="83">
        <f>IFERROR(IF(B69-D69&gt;=0.01,B69-D69,""),"")</f>
        <v>321040.89672564453</v>
      </c>
      <c r="C70" s="83">
        <f>IFERROR(B70*$I$4/12,"")</f>
        <v>901.58985163785167</v>
      </c>
      <c r="D70" s="84">
        <f>IFERROR(F70-C70,"")</f>
        <v>711.05127521585234</v>
      </c>
      <c r="E70" s="83">
        <f>IF(A70&lt;&gt;"",$I$6,"")</f>
        <v>1612.641126853704</v>
      </c>
      <c r="F70" s="84">
        <f>IF(A70&lt;&gt;"",$I$6,"")</f>
        <v>1612.641126853704</v>
      </c>
      <c r="G70" s="6"/>
      <c r="H70" s="6"/>
      <c r="I70" s="6"/>
    </row>
    <row r="71" spans="1:9" x14ac:dyDescent="0.2">
      <c r="A71" s="7">
        <v>70</v>
      </c>
      <c r="B71" s="83">
        <f>IFERROR(IF(B70-D70&gt;=0.01,B70-D70,""),"")</f>
        <v>320329.84545042866</v>
      </c>
      <c r="C71" s="83">
        <f>IFERROR(B71*$I$4/12,"")</f>
        <v>899.59298263995379</v>
      </c>
      <c r="D71" s="84">
        <f>IFERROR(F71-C71,"")</f>
        <v>713.04814421375022</v>
      </c>
      <c r="E71" s="83">
        <f>IF(A71&lt;&gt;"",$I$6,"")</f>
        <v>1612.641126853704</v>
      </c>
      <c r="F71" s="84">
        <f>IF(A71&lt;&gt;"",$I$6,"")</f>
        <v>1612.641126853704</v>
      </c>
      <c r="G71" s="6"/>
      <c r="H71" s="6"/>
      <c r="I71" s="6"/>
    </row>
    <row r="72" spans="1:9" x14ac:dyDescent="0.2">
      <c r="A72" s="7">
        <v>71</v>
      </c>
      <c r="B72" s="83">
        <f>IFERROR(IF(B71-D71&gt;=0.01,B71-D71,""),"")</f>
        <v>319616.79730621492</v>
      </c>
      <c r="C72" s="83">
        <f>IFERROR(B72*$I$4/12,"")</f>
        <v>897.59050576828702</v>
      </c>
      <c r="D72" s="84">
        <f>IFERROR(F72-C72,"")</f>
        <v>715.05062108541699</v>
      </c>
      <c r="E72" s="83">
        <f>IF(A72&lt;&gt;"",$I$6,"")</f>
        <v>1612.641126853704</v>
      </c>
      <c r="F72" s="84">
        <f>IF(A72&lt;&gt;"",$I$6,"")</f>
        <v>1612.641126853704</v>
      </c>
      <c r="G72" s="6"/>
      <c r="H72" s="6"/>
      <c r="I72" s="6"/>
    </row>
    <row r="73" spans="1:9" x14ac:dyDescent="0.2">
      <c r="A73" s="7">
        <v>72</v>
      </c>
      <c r="B73" s="83">
        <f>IFERROR(IF(B72-D72&gt;=0.01,B72-D72,""),"")</f>
        <v>318901.74668512953</v>
      </c>
      <c r="C73" s="83">
        <f>IFERROR(B73*$I$4/12,"")</f>
        <v>895.58240527407213</v>
      </c>
      <c r="D73" s="84">
        <f>IFERROR(F73-C73,"")</f>
        <v>717.05872157963188</v>
      </c>
      <c r="E73" s="83">
        <f>IF(A73&lt;&gt;"",$I$6,"")</f>
        <v>1612.641126853704</v>
      </c>
      <c r="F73" s="84">
        <f>IF(A73&lt;&gt;"",$I$6,"")</f>
        <v>1612.641126853704</v>
      </c>
      <c r="G73" s="6"/>
      <c r="H73" s="6"/>
      <c r="I73" s="6"/>
    </row>
    <row r="74" spans="1:9" x14ac:dyDescent="0.2">
      <c r="A74" s="7">
        <v>73</v>
      </c>
      <c r="B74" s="83">
        <f>IFERROR(IF(B73-D73&gt;=0.01,B73-D73,""),"")</f>
        <v>318184.68796354992</v>
      </c>
      <c r="C74" s="83">
        <f>IFERROR(B74*$I$4/12,"")</f>
        <v>893.56866536430277</v>
      </c>
      <c r="D74" s="84">
        <f>IFERROR(F74-C74,"")</f>
        <v>719.07246148940123</v>
      </c>
      <c r="E74" s="83">
        <f>IF(A74&lt;&gt;"",$I$6,"")</f>
        <v>1612.641126853704</v>
      </c>
      <c r="F74" s="84">
        <f>IF(A74&lt;&gt;"",$I$6,"")</f>
        <v>1612.641126853704</v>
      </c>
      <c r="G74" s="6"/>
      <c r="H74" s="6"/>
      <c r="I74" s="6"/>
    </row>
    <row r="75" spans="1:9" x14ac:dyDescent="0.2">
      <c r="A75" s="7">
        <v>74</v>
      </c>
      <c r="B75" s="83">
        <f>IFERROR(IF(B74-D74&gt;=0.01,B74-D74,""),"")</f>
        <v>317465.61550206051</v>
      </c>
      <c r="C75" s="83">
        <f>IFERROR(B75*$I$4/12,"")</f>
        <v>891.54927020161995</v>
      </c>
      <c r="D75" s="84">
        <f>IFERROR(F75-C75,"")</f>
        <v>721.09185665208406</v>
      </c>
      <c r="E75" s="83">
        <f>IF(A75&lt;&gt;"",$I$6,"")</f>
        <v>1612.641126853704</v>
      </c>
      <c r="F75" s="84">
        <f>IF(A75&lt;&gt;"",$I$6,"")</f>
        <v>1612.641126853704</v>
      </c>
      <c r="G75" s="6"/>
      <c r="H75" s="6"/>
      <c r="I75" s="6"/>
    </row>
    <row r="76" spans="1:9" x14ac:dyDescent="0.2">
      <c r="A76" s="7">
        <v>75</v>
      </c>
      <c r="B76" s="83">
        <f>IFERROR(IF(B75-D75&gt;=0.01,B75-D75,""),"")</f>
        <v>316744.52364540845</v>
      </c>
      <c r="C76" s="83">
        <f>IFERROR(B76*$I$4/12,"")</f>
        <v>889.52420390418877</v>
      </c>
      <c r="D76" s="84">
        <f>IFERROR(F76-C76,"")</f>
        <v>723.11692294951524</v>
      </c>
      <c r="E76" s="83">
        <f>IF(A76&lt;&gt;"",$I$6,"")</f>
        <v>1612.641126853704</v>
      </c>
      <c r="F76" s="84">
        <f>IF(A76&lt;&gt;"",$I$6,"")</f>
        <v>1612.641126853704</v>
      </c>
      <c r="G76" s="6"/>
      <c r="H76" s="6"/>
      <c r="I76" s="6"/>
    </row>
    <row r="77" spans="1:9" x14ac:dyDescent="0.2">
      <c r="A77" s="7">
        <v>76</v>
      </c>
      <c r="B77" s="83">
        <f>IFERROR(IF(B76-D76&gt;=0.01,B76-D76,""),"")</f>
        <v>316021.40672245895</v>
      </c>
      <c r="C77" s="83">
        <f>IFERROR(B77*$I$4/12,"")</f>
        <v>887.49345054557227</v>
      </c>
      <c r="D77" s="84">
        <f>IFERROR(F77-C77,"")</f>
        <v>725.14767630813174</v>
      </c>
      <c r="E77" s="83">
        <f>IF(A77&lt;&gt;"",$I$6,"")</f>
        <v>1612.641126853704</v>
      </c>
      <c r="F77" s="84">
        <f>IF(A77&lt;&gt;"",$I$6,"")</f>
        <v>1612.641126853704</v>
      </c>
      <c r="G77" s="6"/>
      <c r="H77" s="6"/>
      <c r="I77" s="6"/>
    </row>
    <row r="78" spans="1:9" x14ac:dyDescent="0.2">
      <c r="A78" s="7">
        <v>77</v>
      </c>
      <c r="B78" s="83">
        <f>IFERROR(IF(B77-D77&gt;=0.01,B77-D77,""),"")</f>
        <v>315296.25904615084</v>
      </c>
      <c r="C78" s="83">
        <f>IFERROR(B78*$I$4/12,"")</f>
        <v>885.45699415460695</v>
      </c>
      <c r="D78" s="84">
        <f>IFERROR(F78-C78,"")</f>
        <v>727.18413269909706</v>
      </c>
      <c r="E78" s="83">
        <f>IF(A78&lt;&gt;"",$I$6,"")</f>
        <v>1612.641126853704</v>
      </c>
      <c r="F78" s="84">
        <f>IF(A78&lt;&gt;"",$I$6,"")</f>
        <v>1612.641126853704</v>
      </c>
      <c r="G78" s="6"/>
      <c r="H78" s="6"/>
      <c r="I78" s="6"/>
    </row>
    <row r="79" spans="1:9" x14ac:dyDescent="0.2">
      <c r="A79" s="7">
        <v>78</v>
      </c>
      <c r="B79" s="83">
        <f>IFERROR(IF(B78-D78&gt;=0.01,B78-D78,""),"")</f>
        <v>314569.07491345174</v>
      </c>
      <c r="C79" s="83">
        <f>IFERROR(B79*$I$4/12,"")</f>
        <v>883.41481871527697</v>
      </c>
      <c r="D79" s="84">
        <f>IFERROR(F79-C79,"")</f>
        <v>729.22630813842704</v>
      </c>
      <c r="E79" s="83">
        <f>IF(A79&lt;&gt;"",$I$6,"")</f>
        <v>1612.641126853704</v>
      </c>
      <c r="F79" s="84">
        <f>IF(A79&lt;&gt;"",$I$6,"")</f>
        <v>1612.641126853704</v>
      </c>
      <c r="G79" s="6"/>
      <c r="H79" s="6"/>
      <c r="I79" s="6"/>
    </row>
    <row r="80" spans="1:9" x14ac:dyDescent="0.2">
      <c r="A80" s="7">
        <v>79</v>
      </c>
      <c r="B80" s="83">
        <f>IFERROR(IF(B79-D79&gt;=0.01,B79-D79,""),"")</f>
        <v>313839.84860531334</v>
      </c>
      <c r="C80" s="83">
        <f>IFERROR(B80*$I$4/12,"")</f>
        <v>881.36690816658836</v>
      </c>
      <c r="D80" s="84">
        <f>IFERROR(F80-C80,"")</f>
        <v>731.27421868711565</v>
      </c>
      <c r="E80" s="83">
        <f>IF(A80&lt;&gt;"",$I$6,"")</f>
        <v>1612.641126853704</v>
      </c>
      <c r="F80" s="84">
        <f>IF(A80&lt;&gt;"",$I$6,"")</f>
        <v>1612.641126853704</v>
      </c>
      <c r="G80" s="6"/>
      <c r="H80" s="6"/>
      <c r="I80" s="6"/>
    </row>
    <row r="81" spans="1:9" x14ac:dyDescent="0.2">
      <c r="A81" s="7">
        <v>80</v>
      </c>
      <c r="B81" s="83">
        <f>IFERROR(IF(B80-D80&gt;=0.01,B80-D80,""),"")</f>
        <v>313108.57438662625</v>
      </c>
      <c r="C81" s="83">
        <f>IFERROR(B81*$I$4/12,"")</f>
        <v>879.31324640244202</v>
      </c>
      <c r="D81" s="84">
        <f>IFERROR(F81-C81,"")</f>
        <v>733.32788045126199</v>
      </c>
      <c r="E81" s="83">
        <f>IF(A81&lt;&gt;"",$I$6,"")</f>
        <v>1612.641126853704</v>
      </c>
      <c r="F81" s="84">
        <f>IF(A81&lt;&gt;"",$I$6,"")</f>
        <v>1612.641126853704</v>
      </c>
      <c r="G81" s="6"/>
      <c r="H81" s="6"/>
      <c r="I81" s="6"/>
    </row>
    <row r="82" spans="1:9" x14ac:dyDescent="0.2">
      <c r="A82" s="7">
        <v>81</v>
      </c>
      <c r="B82" s="83">
        <f>IFERROR(IF(B81-D81&gt;=0.01,B81-D81,""),"")</f>
        <v>312375.24650617497</v>
      </c>
      <c r="C82" s="83">
        <f>IFERROR(B82*$I$4/12,"")</f>
        <v>877.25381727150807</v>
      </c>
      <c r="D82" s="84">
        <f>IFERROR(F82-C82,"")</f>
        <v>735.38730958219594</v>
      </c>
      <c r="E82" s="83">
        <f>IF(A82&lt;&gt;"",$I$6,"")</f>
        <v>1612.641126853704</v>
      </c>
      <c r="F82" s="84">
        <f>IF(A82&lt;&gt;"",$I$6,"")</f>
        <v>1612.641126853704</v>
      </c>
      <c r="G82" s="6"/>
      <c r="H82" s="6"/>
      <c r="I82" s="6"/>
    </row>
    <row r="83" spans="1:9" x14ac:dyDescent="0.2">
      <c r="A83" s="7">
        <v>82</v>
      </c>
      <c r="B83" s="83">
        <f>IFERROR(IF(B82-D82&gt;=0.01,B82-D82,""),"")</f>
        <v>311639.85919659276</v>
      </c>
      <c r="C83" s="83">
        <f>IFERROR(B83*$I$4/12,"")</f>
        <v>875.18860457709798</v>
      </c>
      <c r="D83" s="84">
        <f>IFERROR(F83-C83,"")</f>
        <v>737.45252227660603</v>
      </c>
      <c r="E83" s="83">
        <f>IF(A83&lt;&gt;"",$I$6,"")</f>
        <v>1612.641126853704</v>
      </c>
      <c r="F83" s="84">
        <f>IF(A83&lt;&gt;"",$I$6,"")</f>
        <v>1612.641126853704</v>
      </c>
      <c r="G83" s="6"/>
      <c r="H83" s="6"/>
      <c r="I83" s="6"/>
    </row>
    <row r="84" spans="1:9" x14ac:dyDescent="0.2">
      <c r="A84" s="7">
        <v>83</v>
      </c>
      <c r="B84" s="83">
        <f>IFERROR(IF(B83-D83&gt;=0.01,B83-D83,""),"")</f>
        <v>310902.40667431615</v>
      </c>
      <c r="C84" s="83">
        <f>IFERROR(B84*$I$4/12,"")</f>
        <v>873.1175920770379</v>
      </c>
      <c r="D84" s="84">
        <f>IFERROR(F84-C84,"")</f>
        <v>739.52353477666611</v>
      </c>
      <c r="E84" s="83">
        <f>IF(A84&lt;&gt;"",$I$6,"")</f>
        <v>1612.641126853704</v>
      </c>
      <c r="F84" s="84">
        <f>IF(A84&lt;&gt;"",$I$6,"")</f>
        <v>1612.641126853704</v>
      </c>
      <c r="G84" s="6"/>
      <c r="H84" s="6"/>
      <c r="I84" s="6"/>
    </row>
    <row r="85" spans="1:9" x14ac:dyDescent="0.2">
      <c r="A85" s="7">
        <v>84</v>
      </c>
      <c r="B85" s="83">
        <f>IFERROR(IF(B84-D84&gt;=0.01,B84-D84,""),"")</f>
        <v>310162.88313953951</v>
      </c>
      <c r="C85" s="83">
        <f>IFERROR(B85*$I$4/12,"")</f>
        <v>871.0407634835401</v>
      </c>
      <c r="D85" s="84">
        <f>IFERROR(F85-C85,"")</f>
        <v>741.6003633701639</v>
      </c>
      <c r="E85" s="83">
        <f>IF(A85&lt;&gt;"",$I$6,"")</f>
        <v>1612.641126853704</v>
      </c>
      <c r="F85" s="84">
        <f>IF(A85&lt;&gt;"",$I$6,"")</f>
        <v>1612.641126853704</v>
      </c>
      <c r="G85" s="6"/>
      <c r="H85" s="6"/>
      <c r="I85" s="6"/>
    </row>
    <row r="86" spans="1:9" x14ac:dyDescent="0.2">
      <c r="A86" s="7">
        <v>85</v>
      </c>
      <c r="B86" s="83">
        <f>IFERROR(IF(B85-D85&gt;=0.01,B85-D85,""),"")</f>
        <v>309421.28277616936</v>
      </c>
      <c r="C86" s="83">
        <f>IFERROR(B86*$I$4/12,"")</f>
        <v>868.95810246307565</v>
      </c>
      <c r="D86" s="84">
        <f>IFERROR(F86-C86,"")</f>
        <v>743.68302439062836</v>
      </c>
      <c r="E86" s="83">
        <f>IF(A86&lt;&gt;"",$I$6,"")</f>
        <v>1612.641126853704</v>
      </c>
      <c r="F86" s="84">
        <f>IF(A86&lt;&gt;"",$I$6,"")</f>
        <v>1612.641126853704</v>
      </c>
      <c r="G86" s="6"/>
      <c r="H86" s="6"/>
      <c r="I86" s="6"/>
    </row>
    <row r="87" spans="1:9" x14ac:dyDescent="0.2">
      <c r="A87" s="7">
        <v>86</v>
      </c>
      <c r="B87" s="83">
        <f>IFERROR(IF(B86-D86&gt;=0.01,B86-D86,""),"")</f>
        <v>308677.59975177876</v>
      </c>
      <c r="C87" s="83">
        <f>IFERROR(B87*$I$4/12,"")</f>
        <v>866.86959263624533</v>
      </c>
      <c r="D87" s="84">
        <f>IFERROR(F87-C87,"")</f>
        <v>745.77153421745868</v>
      </c>
      <c r="E87" s="83">
        <f>IF(A87&lt;&gt;"",$I$6,"")</f>
        <v>1612.641126853704</v>
      </c>
      <c r="F87" s="84">
        <f>IF(A87&lt;&gt;"",$I$6,"")</f>
        <v>1612.641126853704</v>
      </c>
      <c r="G87" s="6"/>
      <c r="H87" s="6"/>
      <c r="I87" s="6"/>
    </row>
    <row r="88" spans="1:9" x14ac:dyDescent="0.2">
      <c r="A88" s="7">
        <v>87</v>
      </c>
      <c r="B88" s="83">
        <f>IFERROR(IF(B87-D87&gt;=0.01,B87-D87,""),"")</f>
        <v>307931.8282175613</v>
      </c>
      <c r="C88" s="83">
        <f>IFERROR(B88*$I$4/12,"")</f>
        <v>864.77521757765135</v>
      </c>
      <c r="D88" s="84">
        <f>IFERROR(F88-C88,"")</f>
        <v>747.86590927605266</v>
      </c>
      <c r="E88" s="83">
        <f>IF(A88&lt;&gt;"",$I$6,"")</f>
        <v>1612.641126853704</v>
      </c>
      <c r="F88" s="84">
        <f>IF(A88&lt;&gt;"",$I$6,"")</f>
        <v>1612.641126853704</v>
      </c>
      <c r="G88" s="6"/>
      <c r="H88" s="6"/>
      <c r="I88" s="6"/>
    </row>
    <row r="89" spans="1:9" x14ac:dyDescent="0.2">
      <c r="A89" s="7">
        <v>88</v>
      </c>
      <c r="B89" s="83">
        <f>IFERROR(IF(B88-D88&gt;=0.01,B88-D88,""),"")</f>
        <v>307183.96230828523</v>
      </c>
      <c r="C89" s="83">
        <f>IFERROR(B89*$I$4/12,"")</f>
        <v>862.6749608157678</v>
      </c>
      <c r="D89" s="84">
        <f>IFERROR(F89-C89,"")</f>
        <v>749.9661660379362</v>
      </c>
      <c r="E89" s="83">
        <f>IF(A89&lt;&gt;"",$I$6,"")</f>
        <v>1612.641126853704</v>
      </c>
      <c r="F89" s="84">
        <f>IF(A89&lt;&gt;"",$I$6,"")</f>
        <v>1612.641126853704</v>
      </c>
      <c r="G89" s="6"/>
      <c r="H89" s="6"/>
      <c r="I89" s="6"/>
    </row>
    <row r="90" spans="1:9" x14ac:dyDescent="0.2">
      <c r="A90" s="7">
        <v>89</v>
      </c>
      <c r="B90" s="83">
        <f>IFERROR(IF(B89-D89&gt;=0.01,B89-D89,""),"")</f>
        <v>306433.99614224728</v>
      </c>
      <c r="C90" s="83">
        <f>IFERROR(B90*$I$4/12,"")</f>
        <v>860.56880583281111</v>
      </c>
      <c r="D90" s="84">
        <f>IFERROR(F90-C90,"")</f>
        <v>752.0723210208929</v>
      </c>
      <c r="E90" s="83">
        <f>IF(A90&lt;&gt;"",$I$6,"")</f>
        <v>1612.641126853704</v>
      </c>
      <c r="F90" s="84">
        <f>IF(A90&lt;&gt;"",$I$6,"")</f>
        <v>1612.641126853704</v>
      </c>
      <c r="G90" s="6"/>
      <c r="H90" s="6"/>
      <c r="I90" s="6"/>
    </row>
    <row r="91" spans="1:9" x14ac:dyDescent="0.2">
      <c r="A91" s="7">
        <v>90</v>
      </c>
      <c r="B91" s="83">
        <f>IFERROR(IF(B90-D90&gt;=0.01,B90-D90,""),"")</f>
        <v>305681.9238212264</v>
      </c>
      <c r="C91" s="83">
        <f>IFERROR(B91*$I$4/12,"")</f>
        <v>858.45673606461094</v>
      </c>
      <c r="D91" s="84">
        <f>IFERROR(F91-C91,"")</f>
        <v>754.18439078909307</v>
      </c>
      <c r="E91" s="83">
        <f>IF(A91&lt;&gt;"",$I$6,"")</f>
        <v>1612.641126853704</v>
      </c>
      <c r="F91" s="84">
        <f>IF(A91&lt;&gt;"",$I$6,"")</f>
        <v>1612.641126853704</v>
      </c>
      <c r="G91" s="6"/>
      <c r="H91" s="6"/>
      <c r="I91" s="6"/>
    </row>
    <row r="92" spans="1:9" x14ac:dyDescent="0.2">
      <c r="A92" s="7">
        <v>91</v>
      </c>
      <c r="B92" s="83">
        <f>IFERROR(IF(B91-D91&gt;=0.01,B91-D91,""),"")</f>
        <v>304927.73943043733</v>
      </c>
      <c r="C92" s="83">
        <f>IFERROR(B92*$I$4/12,"")</f>
        <v>856.33873490047824</v>
      </c>
      <c r="D92" s="84">
        <f>IFERROR(F92-C92,"")</f>
        <v>756.30239195322577</v>
      </c>
      <c r="E92" s="83">
        <f>IF(A92&lt;&gt;"",$I$6,"")</f>
        <v>1612.641126853704</v>
      </c>
      <c r="F92" s="84">
        <f>IF(A92&lt;&gt;"",$I$6,"")</f>
        <v>1612.641126853704</v>
      </c>
      <c r="G92" s="6"/>
      <c r="H92" s="6"/>
      <c r="I92" s="6"/>
    </row>
    <row r="93" spans="1:9" x14ac:dyDescent="0.2">
      <c r="A93" s="7">
        <v>92</v>
      </c>
      <c r="B93" s="83">
        <f>IFERROR(IF(B92-D92&gt;=0.01,B92-D92,""),"")</f>
        <v>304171.43703848409</v>
      </c>
      <c r="C93" s="83">
        <f>IFERROR(B93*$I$4/12,"")</f>
        <v>854.21478568307612</v>
      </c>
      <c r="D93" s="84">
        <f>IFERROR(F93-C93,"")</f>
        <v>758.42634117062789</v>
      </c>
      <c r="E93" s="83">
        <f>IF(A93&lt;&gt;"",$I$6,"")</f>
        <v>1612.641126853704</v>
      </c>
      <c r="F93" s="84">
        <f>IF(A93&lt;&gt;"",$I$6,"")</f>
        <v>1612.641126853704</v>
      </c>
      <c r="G93" s="6"/>
      <c r="H93" s="6"/>
      <c r="I93" s="6"/>
    </row>
    <row r="94" spans="1:9" x14ac:dyDescent="0.2">
      <c r="A94" s="7">
        <v>93</v>
      </c>
      <c r="B94" s="83">
        <f>IFERROR(IF(B93-D93&gt;=0.01,B93-D93,""),"")</f>
        <v>303413.01069731347</v>
      </c>
      <c r="C94" s="83">
        <f>IFERROR(B94*$I$4/12,"")</f>
        <v>852.08487170828869</v>
      </c>
      <c r="D94" s="84">
        <f>IFERROR(F94-C94,"")</f>
        <v>760.55625514541532</v>
      </c>
      <c r="E94" s="83">
        <f>IF(A94&lt;&gt;"",$I$6,"")</f>
        <v>1612.641126853704</v>
      </c>
      <c r="F94" s="84">
        <f>IF(A94&lt;&gt;"",$I$6,"")</f>
        <v>1612.641126853704</v>
      </c>
      <c r="G94" s="6"/>
      <c r="H94" s="6"/>
      <c r="I94" s="6"/>
    </row>
    <row r="95" spans="1:9" x14ac:dyDescent="0.2">
      <c r="A95" s="7">
        <v>94</v>
      </c>
      <c r="B95" s="83">
        <f>IFERROR(IF(B94-D94&gt;=0.01,B94-D94,""),"")</f>
        <v>302652.45444216806</v>
      </c>
      <c r="C95" s="83">
        <f>IFERROR(B95*$I$4/12,"")</f>
        <v>849.9489762250887</v>
      </c>
      <c r="D95" s="84">
        <f>IFERROR(F95-C95,"")</f>
        <v>762.69215062861531</v>
      </c>
      <c r="E95" s="83">
        <f>IF(A95&lt;&gt;"",$I$6,"")</f>
        <v>1612.641126853704</v>
      </c>
      <c r="F95" s="84">
        <f>IF(A95&lt;&gt;"",$I$6,"")</f>
        <v>1612.641126853704</v>
      </c>
      <c r="G95" s="6"/>
      <c r="H95" s="6"/>
      <c r="I95" s="6"/>
    </row>
    <row r="96" spans="1:9" x14ac:dyDescent="0.2">
      <c r="A96" s="7">
        <v>95</v>
      </c>
      <c r="B96" s="83">
        <f>IFERROR(IF(B95-D95&gt;=0.01,B95-D95,""),"")</f>
        <v>301889.76229153946</v>
      </c>
      <c r="C96" s="83">
        <f>IFERROR(B96*$I$4/12,"")</f>
        <v>847.80708243540664</v>
      </c>
      <c r="D96" s="84">
        <f>IFERROR(F96-C96,"")</f>
        <v>764.83404441829737</v>
      </c>
      <c r="E96" s="83">
        <f>IF(A96&lt;&gt;"",$I$6,"")</f>
        <v>1612.641126853704</v>
      </c>
      <c r="F96" s="84">
        <f>IF(A96&lt;&gt;"",$I$6,"")</f>
        <v>1612.641126853704</v>
      </c>
      <c r="G96" s="6"/>
      <c r="H96" s="6"/>
      <c r="I96" s="6"/>
    </row>
    <row r="97" spans="1:9" x14ac:dyDescent="0.2">
      <c r="A97" s="7">
        <v>96</v>
      </c>
      <c r="B97" s="83">
        <f>IFERROR(IF(B96-D96&gt;=0.01,B96-D96,""),"")</f>
        <v>301124.92824712116</v>
      </c>
      <c r="C97" s="83">
        <f>IFERROR(B97*$I$4/12,"")</f>
        <v>845.65917349399854</v>
      </c>
      <c r="D97" s="84">
        <f>IFERROR(F97-C97,"")</f>
        <v>766.98195335970547</v>
      </c>
      <c r="E97" s="83">
        <f>IF(A97&lt;&gt;"",$I$6,"")</f>
        <v>1612.641126853704</v>
      </c>
      <c r="F97" s="84">
        <f>IF(A97&lt;&gt;"",$I$6,"")</f>
        <v>1612.641126853704</v>
      </c>
      <c r="G97" s="6"/>
      <c r="H97" s="6"/>
      <c r="I97" s="6"/>
    </row>
    <row r="98" spans="1:9" x14ac:dyDescent="0.2">
      <c r="A98" s="7">
        <v>97</v>
      </c>
      <c r="B98" s="83">
        <f>IFERROR(IF(B97-D97&gt;=0.01,B97-D97,""),"")</f>
        <v>300357.94629376143</v>
      </c>
      <c r="C98" s="83">
        <f>IFERROR(B98*$I$4/12,"")</f>
        <v>843.50523250831338</v>
      </c>
      <c r="D98" s="84">
        <f>IFERROR(F98-C98,"")</f>
        <v>769.13589434539062</v>
      </c>
      <c r="E98" s="83">
        <f>IF(A98&lt;&gt;"",$I$6,"")</f>
        <v>1612.641126853704</v>
      </c>
      <c r="F98" s="84">
        <f>IF(A98&lt;&gt;"",$I$6,"")</f>
        <v>1612.641126853704</v>
      </c>
      <c r="G98" s="6"/>
      <c r="H98" s="6"/>
      <c r="I98" s="6"/>
    </row>
    <row r="99" spans="1:9" x14ac:dyDescent="0.2">
      <c r="A99" s="7">
        <v>98</v>
      </c>
      <c r="B99" s="83">
        <f>IFERROR(IF(B98-D98&gt;=0.01,B98-D98,""),"")</f>
        <v>299588.81039941602</v>
      </c>
      <c r="C99" s="83">
        <f>IFERROR(B99*$I$4/12,"")</f>
        <v>841.34524253835991</v>
      </c>
      <c r="D99" s="84">
        <f>IFERROR(F99-C99,"")</f>
        <v>771.2958843153441</v>
      </c>
      <c r="E99" s="83">
        <f>IF(A99&lt;&gt;"",$I$6,"")</f>
        <v>1612.641126853704</v>
      </c>
      <c r="F99" s="84">
        <f>IF(A99&lt;&gt;"",$I$6,"")</f>
        <v>1612.641126853704</v>
      </c>
      <c r="G99" s="6"/>
      <c r="H99" s="6"/>
      <c r="I99" s="6"/>
    </row>
    <row r="100" spans="1:9" x14ac:dyDescent="0.2">
      <c r="A100" s="7">
        <v>99</v>
      </c>
      <c r="B100" s="83">
        <f>IFERROR(IF(B99-D99&gt;=0.01,B99-D99,""),"")</f>
        <v>298817.51451510069</v>
      </c>
      <c r="C100" s="83">
        <f>IFERROR(B100*$I$4/12,"")</f>
        <v>839.17918659657437</v>
      </c>
      <c r="D100" s="84">
        <f>IFERROR(F100-C100,"")</f>
        <v>773.46194025712964</v>
      </c>
      <c r="E100" s="83">
        <f>IF(A100&lt;&gt;"",$I$6,"")</f>
        <v>1612.641126853704</v>
      </c>
      <c r="F100" s="84">
        <f>IF(A100&lt;&gt;"",$I$6,"")</f>
        <v>1612.641126853704</v>
      </c>
      <c r="G100" s="6"/>
      <c r="H100" s="6"/>
      <c r="I100" s="6"/>
    </row>
    <row r="101" spans="1:9" x14ac:dyDescent="0.2">
      <c r="A101" s="7">
        <v>100</v>
      </c>
      <c r="B101" s="83">
        <f>IFERROR(IF(B100-D100&gt;=0.01,B100-D100,""),"")</f>
        <v>298044.05257484358</v>
      </c>
      <c r="C101" s="83">
        <f>IFERROR(B101*$I$4/12,"")</f>
        <v>837.00704764768579</v>
      </c>
      <c r="D101" s="84">
        <f>IFERROR(F101-C101,"")</f>
        <v>775.63407920601821</v>
      </c>
      <c r="E101" s="83">
        <f>IF(A101&lt;&gt;"",$I$6,"")</f>
        <v>1612.641126853704</v>
      </c>
      <c r="F101" s="84">
        <f>IF(A101&lt;&gt;"",$I$6,"")</f>
        <v>1612.641126853704</v>
      </c>
      <c r="G101" s="6"/>
      <c r="H101" s="6"/>
      <c r="I101" s="6"/>
    </row>
    <row r="102" spans="1:9" x14ac:dyDescent="0.2">
      <c r="A102" s="7">
        <v>101</v>
      </c>
      <c r="B102" s="83">
        <f>IFERROR(IF(B101-D101&gt;=0.01,B101-D101,""),"")</f>
        <v>297268.41849563754</v>
      </c>
      <c r="C102" s="83">
        <f>IFERROR(B102*$I$4/12,"")</f>
        <v>834.82880860858211</v>
      </c>
      <c r="D102" s="84">
        <f>IFERROR(F102-C102,"")</f>
        <v>777.8123182451219</v>
      </c>
      <c r="E102" s="83">
        <f>IF(A102&lt;&gt;"",$I$6,"")</f>
        <v>1612.641126853704</v>
      </c>
      <c r="F102" s="84">
        <f>IF(A102&lt;&gt;"",$I$6,"")</f>
        <v>1612.641126853704</v>
      </c>
      <c r="G102" s="6"/>
      <c r="H102" s="6"/>
      <c r="I102" s="6"/>
    </row>
    <row r="103" spans="1:9" x14ac:dyDescent="0.2">
      <c r="A103" s="7">
        <v>102</v>
      </c>
      <c r="B103" s="83">
        <f>IFERROR(IF(B102-D102&gt;=0.01,B102-D102,""),"")</f>
        <v>296490.60617739242</v>
      </c>
      <c r="C103" s="83">
        <f>IFERROR(B103*$I$4/12,"")</f>
        <v>832.64445234817697</v>
      </c>
      <c r="D103" s="84">
        <f>IFERROR(F103-C103,"")</f>
        <v>779.99667450552704</v>
      </c>
      <c r="E103" s="83">
        <f>IF(A103&lt;&gt;"",$I$6,"")</f>
        <v>1612.641126853704</v>
      </c>
      <c r="F103" s="84">
        <f>IF(A103&lt;&gt;"",$I$6,"")</f>
        <v>1612.641126853704</v>
      </c>
      <c r="G103" s="6"/>
      <c r="H103" s="6"/>
      <c r="I103" s="6"/>
    </row>
    <row r="104" spans="1:9" x14ac:dyDescent="0.2">
      <c r="A104" s="7">
        <v>103</v>
      </c>
      <c r="B104" s="83">
        <f>IFERROR(IF(B103-D103&gt;=0.01,B103-D103,""),"")</f>
        <v>295710.60950288689</v>
      </c>
      <c r="C104" s="83">
        <f>IFERROR(B104*$I$4/12,"")</f>
        <v>830.45396168727405</v>
      </c>
      <c r="D104" s="84">
        <f>IFERROR(F104-C104,"")</f>
        <v>782.18716516642996</v>
      </c>
      <c r="E104" s="83">
        <f>IF(A104&lt;&gt;"",$I$6,"")</f>
        <v>1612.641126853704</v>
      </c>
      <c r="F104" s="84">
        <f>IF(A104&lt;&gt;"",$I$6,"")</f>
        <v>1612.641126853704</v>
      </c>
      <c r="G104" s="6"/>
      <c r="H104" s="6"/>
      <c r="I104" s="6"/>
    </row>
    <row r="105" spans="1:9" x14ac:dyDescent="0.2">
      <c r="A105" s="7">
        <v>104</v>
      </c>
      <c r="B105" s="83">
        <f>IFERROR(IF(B104-D104&gt;=0.01,B104-D104,""),"")</f>
        <v>294928.42233772046</v>
      </c>
      <c r="C105" s="83">
        <f>IFERROR(B105*$I$4/12,"")</f>
        <v>828.25731939843172</v>
      </c>
      <c r="D105" s="84">
        <f>IFERROR(F105-C105,"")</f>
        <v>784.38380745527229</v>
      </c>
      <c r="E105" s="83">
        <f>IF(A105&lt;&gt;"",$I$6,"")</f>
        <v>1612.641126853704</v>
      </c>
      <c r="F105" s="84">
        <f>IF(A105&lt;&gt;"",$I$6,"")</f>
        <v>1612.641126853704</v>
      </c>
      <c r="G105" s="6"/>
      <c r="H105" s="6"/>
      <c r="I105" s="6"/>
    </row>
    <row r="106" spans="1:9" x14ac:dyDescent="0.2">
      <c r="A106" s="7">
        <v>105</v>
      </c>
      <c r="B106" s="83">
        <f>IFERROR(IF(B105-D105&gt;=0.01,B105-D105,""),"")</f>
        <v>294144.03853026521</v>
      </c>
      <c r="C106" s="83">
        <f>IFERROR(B106*$I$4/12,"")</f>
        <v>826.05450820582826</v>
      </c>
      <c r="D106" s="84">
        <f>IFERROR(F106-C106,"")</f>
        <v>786.58661864787575</v>
      </c>
      <c r="E106" s="83">
        <f>IF(A106&lt;&gt;"",$I$6,"")</f>
        <v>1612.641126853704</v>
      </c>
      <c r="F106" s="84">
        <f>IF(A106&lt;&gt;"",$I$6,"")</f>
        <v>1612.641126853704</v>
      </c>
      <c r="G106" s="6"/>
      <c r="H106" s="6"/>
      <c r="I106" s="6"/>
    </row>
    <row r="107" spans="1:9" x14ac:dyDescent="0.2">
      <c r="A107" s="7">
        <v>106</v>
      </c>
      <c r="B107" s="83">
        <f>IFERROR(IF(B106-D106&gt;=0.01,B106-D106,""),"")</f>
        <v>293357.45191161736</v>
      </c>
      <c r="C107" s="83">
        <f>IFERROR(B107*$I$4/12,"")</f>
        <v>823.8455107851255</v>
      </c>
      <c r="D107" s="84">
        <f>IFERROR(F107-C107,"")</f>
        <v>788.79561606857851</v>
      </c>
      <c r="E107" s="83">
        <f>IF(A107&lt;&gt;"",$I$6,"")</f>
        <v>1612.641126853704</v>
      </c>
      <c r="F107" s="84">
        <f>IF(A107&lt;&gt;"",$I$6,"")</f>
        <v>1612.641126853704</v>
      </c>
      <c r="G107" s="6"/>
      <c r="H107" s="6"/>
      <c r="I107" s="6"/>
    </row>
    <row r="108" spans="1:9" x14ac:dyDescent="0.2">
      <c r="A108" s="7">
        <v>107</v>
      </c>
      <c r="B108" s="83">
        <f>IFERROR(IF(B107-D107&gt;=0.01,B107-D107,""),"")</f>
        <v>292568.65629554878</v>
      </c>
      <c r="C108" s="83">
        <f>IFERROR(B108*$I$4/12,"")</f>
        <v>821.63030976333278</v>
      </c>
      <c r="D108" s="84">
        <f>IFERROR(F108-C108,"")</f>
        <v>791.01081709037123</v>
      </c>
      <c r="E108" s="83">
        <f>IF(A108&lt;&gt;"",$I$6,"")</f>
        <v>1612.641126853704</v>
      </c>
      <c r="F108" s="84">
        <f>IF(A108&lt;&gt;"",$I$6,"")</f>
        <v>1612.641126853704</v>
      </c>
      <c r="G108" s="6"/>
      <c r="H108" s="6"/>
      <c r="I108" s="6"/>
    </row>
    <row r="109" spans="1:9" x14ac:dyDescent="0.2">
      <c r="A109" s="7">
        <v>108</v>
      </c>
      <c r="B109" s="83">
        <f>IFERROR(IF(B108-D108&gt;=0.01,B108-D108,""),"")</f>
        <v>291777.64547845838</v>
      </c>
      <c r="C109" s="83">
        <f>IFERROR(B109*$I$4/12,"")</f>
        <v>819.4088877186706</v>
      </c>
      <c r="D109" s="84">
        <f>IFERROR(F109-C109,"")</f>
        <v>793.23223913503341</v>
      </c>
      <c r="E109" s="83">
        <f>IF(A109&lt;&gt;"",$I$6,"")</f>
        <v>1612.641126853704</v>
      </c>
      <c r="F109" s="84">
        <f>IF(A109&lt;&gt;"",$I$6,"")</f>
        <v>1612.641126853704</v>
      </c>
      <c r="G109" s="6"/>
      <c r="H109" s="6"/>
      <c r="I109" s="6"/>
    </row>
    <row r="110" spans="1:9" x14ac:dyDescent="0.2">
      <c r="A110" s="7">
        <v>109</v>
      </c>
      <c r="B110" s="83">
        <f>IFERROR(IF(B109-D109&gt;=0.01,B109-D109,""),"")</f>
        <v>290984.41323932336</v>
      </c>
      <c r="C110" s="83">
        <f>IFERROR(B110*$I$4/12,"")</f>
        <v>817.18122718043321</v>
      </c>
      <c r="D110" s="84">
        <f>IFERROR(F110-C110,"")</f>
        <v>795.4598996732708</v>
      </c>
      <c r="E110" s="83">
        <f>IF(A110&lt;&gt;"",$I$6,"")</f>
        <v>1612.641126853704</v>
      </c>
      <c r="F110" s="84">
        <f>IF(A110&lt;&gt;"",$I$6,"")</f>
        <v>1612.641126853704</v>
      </c>
      <c r="G110" s="6"/>
      <c r="H110" s="6"/>
      <c r="I110" s="6"/>
    </row>
    <row r="111" spans="1:9" x14ac:dyDescent="0.2">
      <c r="A111" s="7">
        <v>110</v>
      </c>
      <c r="B111" s="83">
        <f>IFERROR(IF(B110-D110&gt;=0.01,B110-D110,""),"")</f>
        <v>290188.95333965006</v>
      </c>
      <c r="C111" s="83">
        <f>IFERROR(B111*$I$4/12,"")</f>
        <v>814.94731062885057</v>
      </c>
      <c r="D111" s="84">
        <f>IFERROR(F111-C111,"")</f>
        <v>797.69381622485344</v>
      </c>
      <c r="E111" s="83">
        <f>IF(A111&lt;&gt;"",$I$6,"")</f>
        <v>1612.641126853704</v>
      </c>
      <c r="F111" s="84">
        <f>IF(A111&lt;&gt;"",$I$6,"")</f>
        <v>1612.641126853704</v>
      </c>
      <c r="G111" s="6"/>
      <c r="H111" s="6"/>
      <c r="I111" s="6"/>
    </row>
    <row r="112" spans="1:9" x14ac:dyDescent="0.2">
      <c r="A112" s="7">
        <v>111</v>
      </c>
      <c r="B112" s="83">
        <f>IFERROR(IF(B111-D111&gt;=0.01,B111-D111,""),"")</f>
        <v>289391.25952342519</v>
      </c>
      <c r="C112" s="83">
        <f>IFERROR(B112*$I$4/12,"")</f>
        <v>812.70712049495251</v>
      </c>
      <c r="D112" s="84">
        <f>IFERROR(F112-C112,"")</f>
        <v>799.9340063587515</v>
      </c>
      <c r="E112" s="83">
        <f>IF(A112&lt;&gt;"",$I$6,"")</f>
        <v>1612.641126853704</v>
      </c>
      <c r="F112" s="84">
        <f>IF(A112&lt;&gt;"",$I$6,"")</f>
        <v>1612.641126853704</v>
      </c>
      <c r="G112" s="6"/>
      <c r="H112" s="6"/>
      <c r="I112" s="6"/>
    </row>
    <row r="113" spans="1:9" x14ac:dyDescent="0.2">
      <c r="A113" s="7">
        <v>112</v>
      </c>
      <c r="B113" s="83">
        <f>IFERROR(IF(B112-D112&gt;=0.01,B112-D112,""),"")</f>
        <v>288591.32551706646</v>
      </c>
      <c r="C113" s="83">
        <f>IFERROR(B113*$I$4/12,"")</f>
        <v>810.4606391604284</v>
      </c>
      <c r="D113" s="84">
        <f>IFERROR(F113-C113,"")</f>
        <v>802.18048769327561</v>
      </c>
      <c r="E113" s="83">
        <f>IF(A113&lt;&gt;"",$I$6,"")</f>
        <v>1612.641126853704</v>
      </c>
      <c r="F113" s="84">
        <f>IF(A113&lt;&gt;"",$I$6,"")</f>
        <v>1612.641126853704</v>
      </c>
      <c r="G113" s="6"/>
      <c r="H113" s="6"/>
      <c r="I113" s="6"/>
    </row>
    <row r="114" spans="1:9" x14ac:dyDescent="0.2">
      <c r="A114" s="7">
        <v>113</v>
      </c>
      <c r="B114" s="83">
        <f>IFERROR(IF(B113-D113&gt;=0.01,B113-D113,""),"")</f>
        <v>287789.14502937318</v>
      </c>
      <c r="C114" s="83">
        <f>IFERROR(B114*$I$4/12,"")</f>
        <v>808.20784895748966</v>
      </c>
      <c r="D114" s="84">
        <f>IFERROR(F114-C114,"")</f>
        <v>804.43327789621435</v>
      </c>
      <c r="E114" s="83">
        <f>IF(A114&lt;&gt;"",$I$6,"")</f>
        <v>1612.641126853704</v>
      </c>
      <c r="F114" s="84">
        <f>IF(A114&lt;&gt;"",$I$6,"")</f>
        <v>1612.641126853704</v>
      </c>
      <c r="G114" s="6"/>
      <c r="H114" s="6"/>
      <c r="I114" s="6"/>
    </row>
    <row r="115" spans="1:9" x14ac:dyDescent="0.2">
      <c r="A115" s="7">
        <v>114</v>
      </c>
      <c r="B115" s="83">
        <f>IFERROR(IF(B114-D114&gt;=0.01,B114-D114,""),"")</f>
        <v>286984.71175147698</v>
      </c>
      <c r="C115" s="83">
        <f>IFERROR(B115*$I$4/12,"")</f>
        <v>805.94873216873123</v>
      </c>
      <c r="D115" s="84">
        <f>IFERROR(F115-C115,"")</f>
        <v>806.69239468497278</v>
      </c>
      <c r="E115" s="83">
        <f>IF(A115&lt;&gt;"",$I$6,"")</f>
        <v>1612.641126853704</v>
      </c>
      <c r="F115" s="84">
        <f>IF(A115&lt;&gt;"",$I$6,"")</f>
        <v>1612.641126853704</v>
      </c>
      <c r="G115" s="6"/>
      <c r="H115" s="6"/>
      <c r="I115" s="6"/>
    </row>
    <row r="116" spans="1:9" x14ac:dyDescent="0.2">
      <c r="A116" s="7">
        <v>115</v>
      </c>
      <c r="B116" s="83">
        <f>IFERROR(IF(B115-D115&gt;=0.01,B115-D115,""),"")</f>
        <v>286178.01935679198</v>
      </c>
      <c r="C116" s="83">
        <f>IFERROR(B116*$I$4/12,"")</f>
        <v>803.68327102699084</v>
      </c>
      <c r="D116" s="84">
        <f>IFERROR(F116-C116,"")</f>
        <v>808.95785582671317</v>
      </c>
      <c r="E116" s="83">
        <f>IF(A116&lt;&gt;"",$I$6,"")</f>
        <v>1612.641126853704</v>
      </c>
      <c r="F116" s="84">
        <f>IF(A116&lt;&gt;"",$I$6,"")</f>
        <v>1612.641126853704</v>
      </c>
      <c r="G116" s="6"/>
      <c r="H116" s="6"/>
      <c r="I116" s="6"/>
    </row>
    <row r="117" spans="1:9" x14ac:dyDescent="0.2">
      <c r="A117" s="7">
        <v>116</v>
      </c>
      <c r="B117" s="83">
        <f>IFERROR(IF(B116-D116&gt;=0.01,B116-D116,""),"")</f>
        <v>285369.06150096527</v>
      </c>
      <c r="C117" s="83">
        <f>IFERROR(B117*$I$4/12,"")</f>
        <v>801.41144771521078</v>
      </c>
      <c r="D117" s="84">
        <f>IFERROR(F117-C117,"")</f>
        <v>811.22967913849322</v>
      </c>
      <c r="E117" s="83">
        <f>IF(A117&lt;&gt;"",$I$6,"")</f>
        <v>1612.641126853704</v>
      </c>
      <c r="F117" s="84">
        <f>IF(A117&lt;&gt;"",$I$6,"")</f>
        <v>1612.641126853704</v>
      </c>
      <c r="G117" s="6"/>
      <c r="H117" s="6"/>
      <c r="I117" s="6"/>
    </row>
    <row r="118" spans="1:9" x14ac:dyDescent="0.2">
      <c r="A118" s="7">
        <v>117</v>
      </c>
      <c r="B118" s="83">
        <f>IFERROR(IF(B117-D117&gt;=0.01,B117-D117,""),"")</f>
        <v>284557.83182182675</v>
      </c>
      <c r="C118" s="83">
        <f>IFERROR(B118*$I$4/12,"")</f>
        <v>799.13324436629682</v>
      </c>
      <c r="D118" s="84">
        <f>IFERROR(F118-C118,"")</f>
        <v>813.50788248740719</v>
      </c>
      <c r="E118" s="83">
        <f>IF(A118&lt;&gt;"",$I$6,"")</f>
        <v>1612.641126853704</v>
      </c>
      <c r="F118" s="84">
        <f>IF(A118&lt;&gt;"",$I$6,"")</f>
        <v>1612.641126853704</v>
      </c>
      <c r="G118" s="6"/>
      <c r="H118" s="6"/>
      <c r="I118" s="6"/>
    </row>
    <row r="119" spans="1:9" x14ac:dyDescent="0.2">
      <c r="A119" s="7">
        <v>118</v>
      </c>
      <c r="B119" s="83">
        <f>IFERROR(IF(B118-D118&gt;=0.01,B118-D118,""),"")</f>
        <v>283744.32393933937</v>
      </c>
      <c r="C119" s="83">
        <f>IFERROR(B119*$I$4/12,"")</f>
        <v>796.84864306297811</v>
      </c>
      <c r="D119" s="84">
        <f>IFERROR(F119-C119,"")</f>
        <v>815.7924837907259</v>
      </c>
      <c r="E119" s="83">
        <f>IF(A119&lt;&gt;"",$I$6,"")</f>
        <v>1612.641126853704</v>
      </c>
      <c r="F119" s="84">
        <f>IF(A119&lt;&gt;"",$I$6,"")</f>
        <v>1612.641126853704</v>
      </c>
      <c r="G119" s="6"/>
      <c r="H119" s="6"/>
      <c r="I119" s="6"/>
    </row>
    <row r="120" spans="1:9" x14ac:dyDescent="0.2">
      <c r="A120" s="7">
        <v>119</v>
      </c>
      <c r="B120" s="83">
        <f>IFERROR(IF(B119-D119&gt;=0.01,B119-D119,""),"")</f>
        <v>282928.53145554865</v>
      </c>
      <c r="C120" s="83">
        <f>IFERROR(B120*$I$4/12,"")</f>
        <v>794.5576258376658</v>
      </c>
      <c r="D120" s="84">
        <f>IFERROR(F120-C120,"")</f>
        <v>818.08350101603821</v>
      </c>
      <c r="E120" s="83">
        <f>IF(A120&lt;&gt;"",$I$6,"")</f>
        <v>1612.641126853704</v>
      </c>
      <c r="F120" s="84">
        <f>IF(A120&lt;&gt;"",$I$6,"")</f>
        <v>1612.641126853704</v>
      </c>
      <c r="G120" s="6"/>
      <c r="H120" s="6"/>
      <c r="I120" s="6"/>
    </row>
    <row r="121" spans="1:9" x14ac:dyDescent="0.2">
      <c r="A121" s="7">
        <v>120</v>
      </c>
      <c r="B121" s="83">
        <f>IFERROR(IF(B120-D120&gt;=0.01,B120-D120,""),"")</f>
        <v>282110.44795453263</v>
      </c>
      <c r="C121" s="83">
        <f>IFERROR(B121*$I$4/12,"")</f>
        <v>792.26017467231247</v>
      </c>
      <c r="D121" s="84">
        <f>IFERROR(F121-C121,"")</f>
        <v>820.38095218139154</v>
      </c>
      <c r="E121" s="83">
        <f>IF(A121&lt;&gt;"",$I$6,"")</f>
        <v>1612.641126853704</v>
      </c>
      <c r="F121" s="84">
        <f>IF(A121&lt;&gt;"",$I$6,"")</f>
        <v>1612.641126853704</v>
      </c>
      <c r="G121" s="6"/>
      <c r="H121" s="6"/>
      <c r="I121" s="6"/>
    </row>
    <row r="122" spans="1:9" x14ac:dyDescent="0.2">
      <c r="A122" s="7">
        <v>121</v>
      </c>
      <c r="B122" s="83">
        <f>IFERROR(IF(B121-D121&gt;=0.01,B121-D121,""),"")</f>
        <v>281290.06700235122</v>
      </c>
      <c r="C122" s="83">
        <f>IFERROR(B122*$I$4/12,"")</f>
        <v>789.95627149826976</v>
      </c>
      <c r="D122" s="84">
        <f>IFERROR(F122-C122,"")</f>
        <v>822.68485535543425</v>
      </c>
      <c r="E122" s="83">
        <f>IF(A122&lt;&gt;"",$I$6,"")</f>
        <v>1612.641126853704</v>
      </c>
      <c r="F122" s="84">
        <f>IF(A122&lt;&gt;"",$I$6,"")</f>
        <v>1612.641126853704</v>
      </c>
      <c r="G122" s="6"/>
      <c r="H122" s="6"/>
      <c r="I122" s="6"/>
    </row>
    <row r="123" spans="1:9" x14ac:dyDescent="0.2">
      <c r="A123" s="7">
        <v>122</v>
      </c>
      <c r="B123" s="83">
        <f>IFERROR(IF(B122-D122&gt;=0.01,B122-D122,""),"")</f>
        <v>280467.38214699581</v>
      </c>
      <c r="C123" s="83">
        <f>IFERROR(B123*$I$4/12,"")</f>
        <v>787.6458981961465</v>
      </c>
      <c r="D123" s="84">
        <f>IFERROR(F123-C123,"")</f>
        <v>824.9952286575575</v>
      </c>
      <c r="E123" s="83">
        <f>IF(A123&lt;&gt;"",$I$6,"")</f>
        <v>1612.641126853704</v>
      </c>
      <c r="F123" s="84">
        <f>IF(A123&lt;&gt;"",$I$6,"")</f>
        <v>1612.641126853704</v>
      </c>
      <c r="G123" s="6"/>
      <c r="H123" s="6"/>
      <c r="I123" s="6"/>
    </row>
    <row r="124" spans="1:9" x14ac:dyDescent="0.2">
      <c r="A124" s="7">
        <v>123</v>
      </c>
      <c r="B124" s="83">
        <f>IFERROR(IF(B123-D123&gt;=0.01,B123-D123,""),"")</f>
        <v>279642.38691833825</v>
      </c>
      <c r="C124" s="83">
        <f>IFERROR(B124*$I$4/12,"")</f>
        <v>785.32903659566671</v>
      </c>
      <c r="D124" s="84">
        <f>IFERROR(F124-C124,"")</f>
        <v>827.3120902580373</v>
      </c>
      <c r="E124" s="83">
        <f>IF(A124&lt;&gt;"",$I$6,"")</f>
        <v>1612.641126853704</v>
      </c>
      <c r="F124" s="84">
        <f>IF(A124&lt;&gt;"",$I$6,"")</f>
        <v>1612.641126853704</v>
      </c>
      <c r="G124" s="6"/>
      <c r="H124" s="6"/>
      <c r="I124" s="6"/>
    </row>
    <row r="125" spans="1:9" x14ac:dyDescent="0.2">
      <c r="A125" s="7">
        <v>124</v>
      </c>
      <c r="B125" s="83">
        <f>IFERROR(IF(B124-D124&gt;=0.01,B124-D124,""),"")</f>
        <v>278815.07482808019</v>
      </c>
      <c r="C125" s="83">
        <f>IFERROR(B125*$I$4/12,"")</f>
        <v>783.00566847552511</v>
      </c>
      <c r="D125" s="84">
        <f>IFERROR(F125-C125,"")</f>
        <v>829.6354583781789</v>
      </c>
      <c r="E125" s="83">
        <f>IF(A125&lt;&gt;"",$I$6,"")</f>
        <v>1612.641126853704</v>
      </c>
      <c r="F125" s="84">
        <f>IF(A125&lt;&gt;"",$I$6,"")</f>
        <v>1612.641126853704</v>
      </c>
      <c r="G125" s="6"/>
      <c r="H125" s="6"/>
      <c r="I125" s="6"/>
    </row>
    <row r="126" spans="1:9" x14ac:dyDescent="0.2">
      <c r="A126" s="7">
        <v>125</v>
      </c>
      <c r="B126" s="83">
        <f>IFERROR(IF(B125-D125&gt;=0.01,B125-D125,""),"")</f>
        <v>277985.43936970201</v>
      </c>
      <c r="C126" s="83">
        <f>IFERROR(B126*$I$4/12,"")</f>
        <v>780.67577556324648</v>
      </c>
      <c r="D126" s="84">
        <f>IFERROR(F126-C126,"")</f>
        <v>831.96535129045753</v>
      </c>
      <c r="E126" s="83">
        <f>IF(A126&lt;&gt;"",$I$6,"")</f>
        <v>1612.641126853704</v>
      </c>
      <c r="F126" s="84">
        <f>IF(A126&lt;&gt;"",$I$6,"")</f>
        <v>1612.641126853704</v>
      </c>
      <c r="G126" s="6"/>
      <c r="H126" s="6"/>
      <c r="I126" s="6"/>
    </row>
    <row r="127" spans="1:9" x14ac:dyDescent="0.2">
      <c r="A127" s="7">
        <v>126</v>
      </c>
      <c r="B127" s="83">
        <f>IFERROR(IF(B126-D126&gt;=0.01,B126-D126,""),"")</f>
        <v>277153.47401841154</v>
      </c>
      <c r="C127" s="83">
        <f>IFERROR(B127*$I$4/12,"")</f>
        <v>778.33933953503902</v>
      </c>
      <c r="D127" s="84">
        <f>IFERROR(F127-C127,"")</f>
        <v>834.30178731866499</v>
      </c>
      <c r="E127" s="83">
        <f>IF(A127&lt;&gt;"",$I$6,"")</f>
        <v>1612.641126853704</v>
      </c>
      <c r="F127" s="84">
        <f>IF(A127&lt;&gt;"",$I$6,"")</f>
        <v>1612.641126853704</v>
      </c>
      <c r="G127" s="6"/>
      <c r="H127" s="6"/>
      <c r="I127" s="6"/>
    </row>
    <row r="128" spans="1:9" x14ac:dyDescent="0.2">
      <c r="A128" s="7">
        <v>127</v>
      </c>
      <c r="B128" s="83">
        <f>IFERROR(IF(B127-D127&gt;=0.01,B127-D127,""),"")</f>
        <v>276319.17223109287</v>
      </c>
      <c r="C128" s="83">
        <f>IFERROR(B128*$I$4/12,"")</f>
        <v>775.99634201565243</v>
      </c>
      <c r="D128" s="84">
        <f>IFERROR(F128-C128,"")</f>
        <v>836.64478483805158</v>
      </c>
      <c r="E128" s="83">
        <f>IF(A128&lt;&gt;"",$I$6,"")</f>
        <v>1612.641126853704</v>
      </c>
      <c r="F128" s="84">
        <f>IF(A128&lt;&gt;"",$I$6,"")</f>
        <v>1612.641126853704</v>
      </c>
      <c r="G128" s="6"/>
      <c r="H128" s="6"/>
      <c r="I128" s="6"/>
    </row>
    <row r="129" spans="1:9" x14ac:dyDescent="0.2">
      <c r="A129" s="7">
        <v>128</v>
      </c>
      <c r="B129" s="83">
        <f>IFERROR(IF(B128-D128&gt;=0.01,B128-D128,""),"")</f>
        <v>275482.5274462548</v>
      </c>
      <c r="C129" s="83">
        <f>IFERROR(B129*$I$4/12,"")</f>
        <v>773.64676457823225</v>
      </c>
      <c r="D129" s="84">
        <f>IFERROR(F129-C129,"")</f>
        <v>838.99436227547176</v>
      </c>
      <c r="E129" s="83">
        <f>IF(A129&lt;&gt;"",$I$6,"")</f>
        <v>1612.641126853704</v>
      </c>
      <c r="F129" s="84">
        <f>IF(A129&lt;&gt;"",$I$6,"")</f>
        <v>1612.641126853704</v>
      </c>
      <c r="G129" s="6"/>
      <c r="H129" s="6"/>
      <c r="I129" s="6"/>
    </row>
    <row r="130" spans="1:9" x14ac:dyDescent="0.2">
      <c r="A130" s="7">
        <v>129</v>
      </c>
      <c r="B130" s="83">
        <f>IFERROR(IF(B129-D129&gt;=0.01,B129-D129,""),"")</f>
        <v>274643.53308397933</v>
      </c>
      <c r="C130" s="83">
        <f>IFERROR(B130*$I$4/12,"")</f>
        <v>771.29058874417524</v>
      </c>
      <c r="D130" s="84">
        <f>IFERROR(F130-C130,"")</f>
        <v>841.35053810952877</v>
      </c>
      <c r="E130" s="83">
        <f>IF(A130&lt;&gt;"",$I$6,"")</f>
        <v>1612.641126853704</v>
      </c>
      <c r="F130" s="84">
        <f>IF(A130&lt;&gt;"",$I$6,"")</f>
        <v>1612.641126853704</v>
      </c>
      <c r="G130" s="6"/>
      <c r="H130" s="6"/>
      <c r="I130" s="6"/>
    </row>
    <row r="131" spans="1:9" x14ac:dyDescent="0.2">
      <c r="A131" s="7">
        <v>130</v>
      </c>
      <c r="B131" s="83">
        <f>IFERROR(IF(B130-D130&gt;=0.01,B130-D130,""),"")</f>
        <v>273802.18254586979</v>
      </c>
      <c r="C131" s="83">
        <f>IFERROR(B131*$I$4/12,"")</f>
        <v>768.92779598298432</v>
      </c>
      <c r="D131" s="84">
        <f>IFERROR(F131-C131,"")</f>
        <v>843.71333087071969</v>
      </c>
      <c r="E131" s="83">
        <f>IF(A131&lt;&gt;"",$I$6,"")</f>
        <v>1612.641126853704</v>
      </c>
      <c r="F131" s="84">
        <f>IF(A131&lt;&gt;"",$I$6,"")</f>
        <v>1612.641126853704</v>
      </c>
      <c r="G131" s="6"/>
      <c r="H131" s="6"/>
      <c r="I131" s="6"/>
    </row>
    <row r="132" spans="1:9" x14ac:dyDescent="0.2">
      <c r="A132" s="7">
        <v>131</v>
      </c>
      <c r="B132" s="83">
        <f>IFERROR(IF(B131-D131&gt;=0.01,B131-D131,""),"")</f>
        <v>272958.46921499906</v>
      </c>
      <c r="C132" s="83">
        <f>IFERROR(B132*$I$4/12,"")</f>
        <v>766.55836771212228</v>
      </c>
      <c r="D132" s="84">
        <f>IFERROR(F132-C132,"")</f>
        <v>846.08275914158173</v>
      </c>
      <c r="E132" s="83">
        <f>IF(A132&lt;&gt;"",$I$6,"")</f>
        <v>1612.641126853704</v>
      </c>
      <c r="F132" s="84">
        <f>IF(A132&lt;&gt;"",$I$6,"")</f>
        <v>1612.641126853704</v>
      </c>
      <c r="G132" s="6"/>
      <c r="H132" s="6"/>
      <c r="I132" s="6"/>
    </row>
    <row r="133" spans="1:9" x14ac:dyDescent="0.2">
      <c r="A133" s="7">
        <v>132</v>
      </c>
      <c r="B133" s="83">
        <f>IFERROR(IF(B132-D132&gt;=0.01,B132-D132,""),"")</f>
        <v>272112.38645585749</v>
      </c>
      <c r="C133" s="83">
        <f>IFERROR(B133*$I$4/12,"")</f>
        <v>764.18228529686655</v>
      </c>
      <c r="D133" s="84">
        <f>IFERROR(F133-C133,"")</f>
        <v>848.45884155683746</v>
      </c>
      <c r="E133" s="83">
        <f>IF(A133&lt;&gt;"",$I$6,"")</f>
        <v>1612.641126853704</v>
      </c>
      <c r="F133" s="84">
        <f>IF(A133&lt;&gt;"",$I$6,"")</f>
        <v>1612.641126853704</v>
      </c>
      <c r="G133" s="6"/>
      <c r="H133" s="6"/>
      <c r="I133" s="6"/>
    </row>
    <row r="134" spans="1:9" x14ac:dyDescent="0.2">
      <c r="A134" s="7">
        <v>133</v>
      </c>
      <c r="B134" s="83">
        <f>IFERROR(IF(B133-D133&gt;=0.01,B133-D133,""),"")</f>
        <v>271263.92761430063</v>
      </c>
      <c r="C134" s="83">
        <f>IFERROR(B134*$I$4/12,"")</f>
        <v>761.79953005016102</v>
      </c>
      <c r="D134" s="84">
        <f>IFERROR(F134-C134,"")</f>
        <v>850.84159680354298</v>
      </c>
      <c r="E134" s="83">
        <f>IF(A134&lt;&gt;"",$I$6,"")</f>
        <v>1612.641126853704</v>
      </c>
      <c r="F134" s="84">
        <f>IF(A134&lt;&gt;"",$I$6,"")</f>
        <v>1612.641126853704</v>
      </c>
      <c r="G134" s="6"/>
      <c r="H134" s="6"/>
      <c r="I134" s="6"/>
    </row>
    <row r="135" spans="1:9" x14ac:dyDescent="0.2">
      <c r="A135" s="7">
        <v>134</v>
      </c>
      <c r="B135" s="83">
        <f>IFERROR(IF(B134-D134&gt;=0.01,B134-D134,""),"")</f>
        <v>270413.08601749706</v>
      </c>
      <c r="C135" s="83">
        <f>IFERROR(B135*$I$4/12,"")</f>
        <v>759.41008323247081</v>
      </c>
      <c r="D135" s="84">
        <f>IFERROR(F135-C135,"")</f>
        <v>853.2310436212332</v>
      </c>
      <c r="E135" s="83">
        <f>IF(A135&lt;&gt;"",$I$6,"")</f>
        <v>1612.641126853704</v>
      </c>
      <c r="F135" s="84">
        <f>IF(A135&lt;&gt;"",$I$6,"")</f>
        <v>1612.641126853704</v>
      </c>
      <c r="G135" s="6"/>
      <c r="H135" s="6"/>
      <c r="I135" s="6"/>
    </row>
    <row r="136" spans="1:9" x14ac:dyDescent="0.2">
      <c r="A136" s="7">
        <v>135</v>
      </c>
      <c r="B136" s="83">
        <f>IFERROR(IF(B135-D135&gt;=0.01,B135-D135,""),"")</f>
        <v>269559.8549738758</v>
      </c>
      <c r="C136" s="83">
        <f>IFERROR(B136*$I$4/12,"")</f>
        <v>757.01392605163448</v>
      </c>
      <c r="D136" s="84">
        <f>IFERROR(F136-C136,"")</f>
        <v>855.62720080206952</v>
      </c>
      <c r="E136" s="83">
        <f>IF(A136&lt;&gt;"",$I$6,"")</f>
        <v>1612.641126853704</v>
      </c>
      <c r="F136" s="84">
        <f>IF(A136&lt;&gt;"",$I$6,"")</f>
        <v>1612.641126853704</v>
      </c>
      <c r="G136" s="6"/>
      <c r="H136" s="6"/>
      <c r="I136" s="6"/>
    </row>
    <row r="137" spans="1:9" x14ac:dyDescent="0.2">
      <c r="A137" s="7">
        <v>136</v>
      </c>
      <c r="B137" s="83">
        <f>IFERROR(IF(B136-D136&gt;=0.01,B136-D136,""),"")</f>
        <v>268704.22777307371</v>
      </c>
      <c r="C137" s="83">
        <f>IFERROR(B137*$I$4/12,"")</f>
        <v>754.61103966271537</v>
      </c>
      <c r="D137" s="84">
        <f>IFERROR(F137-C137,"")</f>
        <v>858.03008719098864</v>
      </c>
      <c r="E137" s="83">
        <f>IF(A137&lt;&gt;"",$I$6,"")</f>
        <v>1612.641126853704</v>
      </c>
      <c r="F137" s="84">
        <f>IF(A137&lt;&gt;"",$I$6,"")</f>
        <v>1612.641126853704</v>
      </c>
      <c r="G137" s="6"/>
      <c r="H137" s="6"/>
      <c r="I137" s="6"/>
    </row>
    <row r="138" spans="1:9" x14ac:dyDescent="0.2">
      <c r="A138" s="7">
        <v>137</v>
      </c>
      <c r="B138" s="83">
        <f>IFERROR(IF(B137-D137&gt;=0.01,B137-D137,""),"")</f>
        <v>267846.19768588274</v>
      </c>
      <c r="C138" s="83">
        <f>IFERROR(B138*$I$4/12,"")</f>
        <v>752.20140516785398</v>
      </c>
      <c r="D138" s="84">
        <f>IFERROR(F138-C138,"")</f>
        <v>860.43972168585003</v>
      </c>
      <c r="E138" s="83">
        <f>IF(A138&lt;&gt;"",$I$6,"")</f>
        <v>1612.641126853704</v>
      </c>
      <c r="F138" s="84">
        <f>IF(A138&lt;&gt;"",$I$6,"")</f>
        <v>1612.641126853704</v>
      </c>
      <c r="G138" s="6"/>
      <c r="H138" s="6"/>
      <c r="I138" s="6"/>
    </row>
    <row r="139" spans="1:9" x14ac:dyDescent="0.2">
      <c r="A139" s="7">
        <v>138</v>
      </c>
      <c r="B139" s="83">
        <f>IFERROR(IF(B138-D138&gt;=0.01,B138-D138,""),"")</f>
        <v>266985.75796419691</v>
      </c>
      <c r="C139" s="83">
        <f>IFERROR(B139*$I$4/12,"")</f>
        <v>749.78500361611975</v>
      </c>
      <c r="D139" s="84">
        <f>IFERROR(F139-C139,"")</f>
        <v>862.85612323758426</v>
      </c>
      <c r="E139" s="83">
        <f>IF(A139&lt;&gt;"",$I$6,"")</f>
        <v>1612.641126853704</v>
      </c>
      <c r="F139" s="84">
        <f>IF(A139&lt;&gt;"",$I$6,"")</f>
        <v>1612.641126853704</v>
      </c>
      <c r="G139" s="6"/>
      <c r="H139" s="6"/>
      <c r="I139" s="6"/>
    </row>
    <row r="140" spans="1:9" x14ac:dyDescent="0.2">
      <c r="A140" s="7">
        <v>139</v>
      </c>
      <c r="B140" s="83">
        <f>IFERROR(IF(B139-D139&gt;=0.01,B139-D139,""),"")</f>
        <v>266122.90184095933</v>
      </c>
      <c r="C140" s="83">
        <f>IFERROR(B140*$I$4/12,"")</f>
        <v>747.36181600336079</v>
      </c>
      <c r="D140" s="84">
        <f>IFERROR(F140-C140,"")</f>
        <v>865.27931085034322</v>
      </c>
      <c r="E140" s="83">
        <f>IF(A140&lt;&gt;"",$I$6,"")</f>
        <v>1612.641126853704</v>
      </c>
      <c r="F140" s="84">
        <f>IF(A140&lt;&gt;"",$I$6,"")</f>
        <v>1612.641126853704</v>
      </c>
      <c r="G140" s="6"/>
      <c r="H140" s="6"/>
      <c r="I140" s="6"/>
    </row>
    <row r="141" spans="1:9" x14ac:dyDescent="0.2">
      <c r="A141" s="7">
        <v>140</v>
      </c>
      <c r="B141" s="83">
        <f>IFERROR(IF(B140-D140&gt;=0.01,B140-D140,""),"")</f>
        <v>265257.62253010896</v>
      </c>
      <c r="C141" s="83">
        <f>IFERROR(B141*$I$4/12,"")</f>
        <v>744.93182327205602</v>
      </c>
      <c r="D141" s="84">
        <f>IFERROR(F141-C141,"")</f>
        <v>867.70930358164799</v>
      </c>
      <c r="E141" s="83">
        <f>IF(A141&lt;&gt;"",$I$6,"")</f>
        <v>1612.641126853704</v>
      </c>
      <c r="F141" s="84">
        <f>IF(A141&lt;&gt;"",$I$6,"")</f>
        <v>1612.641126853704</v>
      </c>
      <c r="G141" s="6"/>
      <c r="H141" s="6"/>
      <c r="I141" s="6"/>
    </row>
    <row r="142" spans="1:9" x14ac:dyDescent="0.2">
      <c r="A142" s="7">
        <v>141</v>
      </c>
      <c r="B142" s="83">
        <f>IFERROR(IF(B141-D141&gt;=0.01,B141-D141,""),"")</f>
        <v>264389.91322652734</v>
      </c>
      <c r="C142" s="83">
        <f>IFERROR(B142*$I$4/12,"")</f>
        <v>742.49500631116427</v>
      </c>
      <c r="D142" s="84">
        <f>IFERROR(F142-C142,"")</f>
        <v>870.14612054253973</v>
      </c>
      <c r="E142" s="83">
        <f>IF(A142&lt;&gt;"",$I$6,"")</f>
        <v>1612.641126853704</v>
      </c>
      <c r="F142" s="84">
        <f>IF(A142&lt;&gt;"",$I$6,"")</f>
        <v>1612.641126853704</v>
      </c>
      <c r="G142" s="6"/>
      <c r="H142" s="6"/>
      <c r="I142" s="6"/>
    </row>
    <row r="143" spans="1:9" x14ac:dyDescent="0.2">
      <c r="A143" s="7">
        <v>142</v>
      </c>
      <c r="B143" s="83">
        <f>IFERROR(IF(B142-D142&gt;=0.01,B142-D142,""),"")</f>
        <v>263519.76710598479</v>
      </c>
      <c r="C143" s="83">
        <f>IFERROR(B143*$I$4/12,"")</f>
        <v>740.05134595597394</v>
      </c>
      <c r="D143" s="84">
        <f>IFERROR(F143-C143,"")</f>
        <v>872.58978089773007</v>
      </c>
      <c r="E143" s="83">
        <f>IF(A143&lt;&gt;"",$I$6,"")</f>
        <v>1612.641126853704</v>
      </c>
      <c r="F143" s="84">
        <f>IF(A143&lt;&gt;"",$I$6,"")</f>
        <v>1612.641126853704</v>
      </c>
      <c r="G143" s="6"/>
      <c r="H143" s="6"/>
      <c r="I143" s="6"/>
    </row>
    <row r="144" spans="1:9" x14ac:dyDescent="0.2">
      <c r="A144" s="7">
        <v>143</v>
      </c>
      <c r="B144" s="83">
        <f>IFERROR(IF(B143-D143&gt;=0.01,B143-D143,""),"")</f>
        <v>262647.17732508708</v>
      </c>
      <c r="C144" s="83">
        <f>IFERROR(B144*$I$4/12,"")</f>
        <v>737.60082298795294</v>
      </c>
      <c r="D144" s="84">
        <f>IFERROR(F144-C144,"")</f>
        <v>875.04030386575107</v>
      </c>
      <c r="E144" s="83">
        <f>IF(A144&lt;&gt;"",$I$6,"")</f>
        <v>1612.641126853704</v>
      </c>
      <c r="F144" s="84">
        <f>IF(A144&lt;&gt;"",$I$6,"")</f>
        <v>1612.641126853704</v>
      </c>
      <c r="G144" s="6"/>
      <c r="H144" s="6"/>
      <c r="I144" s="6"/>
    </row>
    <row r="145" spans="1:9" x14ac:dyDescent="0.2">
      <c r="A145" s="7">
        <v>144</v>
      </c>
      <c r="B145" s="83">
        <f>IFERROR(IF(B144-D144&gt;=0.01,B144-D144,""),"")</f>
        <v>261772.13702122134</v>
      </c>
      <c r="C145" s="83">
        <f>IFERROR(B145*$I$4/12,"")</f>
        <v>735.14341813459657</v>
      </c>
      <c r="D145" s="84">
        <f>IFERROR(F145-C145,"")</f>
        <v>877.49770871910744</v>
      </c>
      <c r="E145" s="83">
        <f>IF(A145&lt;&gt;"",$I$6,"")</f>
        <v>1612.641126853704</v>
      </c>
      <c r="F145" s="84">
        <f>IF(A145&lt;&gt;"",$I$6,"")</f>
        <v>1612.641126853704</v>
      </c>
      <c r="G145" s="6"/>
      <c r="H145" s="6"/>
      <c r="I145" s="6"/>
    </row>
    <row r="146" spans="1:9" x14ac:dyDescent="0.2">
      <c r="A146" s="7">
        <v>145</v>
      </c>
      <c r="B146" s="83">
        <f>IFERROR(IF(B145-D145&gt;=0.01,B145-D145,""),"")</f>
        <v>260894.63931250223</v>
      </c>
      <c r="C146" s="83">
        <f>IFERROR(B146*$I$4/12,"")</f>
        <v>732.67911206927704</v>
      </c>
      <c r="D146" s="84">
        <f>IFERROR(F146-C146,"")</f>
        <v>879.96201478442697</v>
      </c>
      <c r="E146" s="83">
        <f>IF(A146&lt;&gt;"",$I$6,"")</f>
        <v>1612.641126853704</v>
      </c>
      <c r="F146" s="84">
        <f>IF(A146&lt;&gt;"",$I$6,"")</f>
        <v>1612.641126853704</v>
      </c>
      <c r="G146" s="6"/>
      <c r="H146" s="6"/>
      <c r="I146" s="6"/>
    </row>
    <row r="147" spans="1:9" x14ac:dyDescent="0.2">
      <c r="A147" s="7">
        <v>146</v>
      </c>
      <c r="B147" s="83">
        <f>IFERROR(IF(B146-D146&gt;=0.01,B146-D146,""),"")</f>
        <v>260014.6772977178</v>
      </c>
      <c r="C147" s="83">
        <f>IFERROR(B147*$I$4/12,"")</f>
        <v>730.20788541109084</v>
      </c>
      <c r="D147" s="84">
        <f>IFERROR(F147-C147,"")</f>
        <v>882.43324144261317</v>
      </c>
      <c r="E147" s="83">
        <f>IF(A147&lt;&gt;"",$I$6,"")</f>
        <v>1612.641126853704</v>
      </c>
      <c r="F147" s="84">
        <f>IF(A147&lt;&gt;"",$I$6,"")</f>
        <v>1612.641126853704</v>
      </c>
      <c r="G147" s="6"/>
      <c r="H147" s="6"/>
      <c r="I147" s="6"/>
    </row>
    <row r="148" spans="1:9" x14ac:dyDescent="0.2">
      <c r="A148" s="7">
        <v>147</v>
      </c>
      <c r="B148" s="83">
        <f>IFERROR(IF(B147-D147&gt;=0.01,B147-D147,""),"")</f>
        <v>259132.2440562752</v>
      </c>
      <c r="C148" s="83">
        <f>IFERROR(B148*$I$4/12,"")</f>
        <v>727.72971872470623</v>
      </c>
      <c r="D148" s="84">
        <f>IFERROR(F148-C148,"")</f>
        <v>884.91140812899778</v>
      </c>
      <c r="E148" s="83">
        <f>IF(A148&lt;&gt;"",$I$6,"")</f>
        <v>1612.641126853704</v>
      </c>
      <c r="F148" s="84">
        <f>IF(A148&lt;&gt;"",$I$6,"")</f>
        <v>1612.641126853704</v>
      </c>
      <c r="G148" s="6"/>
      <c r="H148" s="6"/>
      <c r="I148" s="6"/>
    </row>
    <row r="149" spans="1:9" x14ac:dyDescent="0.2">
      <c r="A149" s="7">
        <v>148</v>
      </c>
      <c r="B149" s="83">
        <f>IFERROR(IF(B148-D148&gt;=0.01,B148-D148,""),"")</f>
        <v>258247.3326481462</v>
      </c>
      <c r="C149" s="83">
        <f>IFERROR(B149*$I$4/12,"")</f>
        <v>725.24459252021052</v>
      </c>
      <c r="D149" s="84">
        <f>IFERROR(F149-C149,"")</f>
        <v>887.39653433349349</v>
      </c>
      <c r="E149" s="83">
        <f>IF(A149&lt;&gt;"",$I$6,"")</f>
        <v>1612.641126853704</v>
      </c>
      <c r="F149" s="84">
        <f>IF(A149&lt;&gt;"",$I$6,"")</f>
        <v>1612.641126853704</v>
      </c>
      <c r="G149" s="6"/>
      <c r="H149" s="6"/>
      <c r="I149" s="6"/>
    </row>
    <row r="150" spans="1:9" x14ac:dyDescent="0.2">
      <c r="A150" s="7">
        <v>149</v>
      </c>
      <c r="B150" s="83">
        <f>IFERROR(IF(B149-D149&gt;=0.01,B149-D149,""),"")</f>
        <v>257359.9361138127</v>
      </c>
      <c r="C150" s="83">
        <f>IFERROR(B150*$I$4/12,"")</f>
        <v>722.75248725295739</v>
      </c>
      <c r="D150" s="84">
        <f>IFERROR(F150-C150,"")</f>
        <v>889.88863960074661</v>
      </c>
      <c r="E150" s="83">
        <f>IF(A150&lt;&gt;"",$I$6,"")</f>
        <v>1612.641126853704</v>
      </c>
      <c r="F150" s="84">
        <f>IF(A150&lt;&gt;"",$I$6,"")</f>
        <v>1612.641126853704</v>
      </c>
      <c r="G150" s="6"/>
      <c r="H150" s="6"/>
      <c r="I150" s="6"/>
    </row>
    <row r="151" spans="1:9" x14ac:dyDescent="0.2">
      <c r="A151" s="7">
        <v>150</v>
      </c>
      <c r="B151" s="83">
        <f>IFERROR(IF(B150-D150&gt;=0.01,B150-D150,""),"")</f>
        <v>256470.04747421195</v>
      </c>
      <c r="C151" s="83">
        <f>IFERROR(B151*$I$4/12,"")</f>
        <v>720.25338332341198</v>
      </c>
      <c r="D151" s="84">
        <f>IFERROR(F151-C151,"")</f>
        <v>892.38774353029203</v>
      </c>
      <c r="E151" s="83">
        <f>IF(A151&lt;&gt;"",$I$6,"")</f>
        <v>1612.641126853704</v>
      </c>
      <c r="F151" s="84">
        <f>IF(A151&lt;&gt;"",$I$6,"")</f>
        <v>1612.641126853704</v>
      </c>
      <c r="G151" s="6"/>
      <c r="H151" s="6"/>
      <c r="I151" s="6"/>
    </row>
    <row r="152" spans="1:9" x14ac:dyDescent="0.2">
      <c r="A152" s="7">
        <v>151</v>
      </c>
      <c r="B152" s="83">
        <f>IFERROR(IF(B151-D151&gt;=0.01,B151-D151,""),"")</f>
        <v>255577.65973068165</v>
      </c>
      <c r="C152" s="83">
        <f>IFERROR(B152*$I$4/12,"")</f>
        <v>717.74726107699769</v>
      </c>
      <c r="D152" s="84">
        <f>IFERROR(F152-C152,"")</f>
        <v>894.89386577670632</v>
      </c>
      <c r="E152" s="83">
        <f>IF(A152&lt;&gt;"",$I$6,"")</f>
        <v>1612.641126853704</v>
      </c>
      <c r="F152" s="84">
        <f>IF(A152&lt;&gt;"",$I$6,"")</f>
        <v>1612.641126853704</v>
      </c>
      <c r="G152" s="6"/>
      <c r="H152" s="6"/>
      <c r="I152" s="6"/>
    </row>
    <row r="153" spans="1:9" x14ac:dyDescent="0.2">
      <c r="A153" s="7">
        <v>152</v>
      </c>
      <c r="B153" s="83">
        <f>IFERROR(IF(B152-D152&gt;=0.01,B152-D152,""),"")</f>
        <v>254682.76586490494</v>
      </c>
      <c r="C153" s="83">
        <f>IFERROR(B153*$I$4/12,"")</f>
        <v>715.23410080394149</v>
      </c>
      <c r="D153" s="84">
        <f>IFERROR(F153-C153,"")</f>
        <v>897.40702604976252</v>
      </c>
      <c r="E153" s="83">
        <f>IF(A153&lt;&gt;"",$I$6,"")</f>
        <v>1612.641126853704</v>
      </c>
      <c r="F153" s="84">
        <f>IF(A153&lt;&gt;"",$I$6,"")</f>
        <v>1612.641126853704</v>
      </c>
      <c r="G153" s="6"/>
      <c r="H153" s="6"/>
      <c r="I153" s="6"/>
    </row>
    <row r="154" spans="1:9" x14ac:dyDescent="0.2">
      <c r="A154" s="7">
        <v>153</v>
      </c>
      <c r="B154" s="83">
        <f>IFERROR(IF(B153-D153&gt;=0.01,B153-D153,""),"")</f>
        <v>253785.35883885517</v>
      </c>
      <c r="C154" s="83">
        <f>IFERROR(B154*$I$4/12,"")</f>
        <v>712.71388273911828</v>
      </c>
      <c r="D154" s="84">
        <f>IFERROR(F154-C154,"")</f>
        <v>899.92724411458573</v>
      </c>
      <c r="E154" s="83">
        <f>IF(A154&lt;&gt;"",$I$6,"")</f>
        <v>1612.641126853704</v>
      </c>
      <c r="F154" s="84">
        <f>IF(A154&lt;&gt;"",$I$6,"")</f>
        <v>1612.641126853704</v>
      </c>
      <c r="G154" s="6"/>
      <c r="H154" s="6"/>
      <c r="I154" s="6"/>
    </row>
    <row r="155" spans="1:9" x14ac:dyDescent="0.2">
      <c r="A155" s="7">
        <v>154</v>
      </c>
      <c r="B155" s="83">
        <f>IFERROR(IF(B154-D154&gt;=0.01,B154-D154,""),"")</f>
        <v>252885.4315947406</v>
      </c>
      <c r="C155" s="83">
        <f>IFERROR(B155*$I$4/12,"")</f>
        <v>710.1865870618966</v>
      </c>
      <c r="D155" s="84">
        <f>IFERROR(F155-C155,"")</f>
        <v>902.45453979180741</v>
      </c>
      <c r="E155" s="83">
        <f>IF(A155&lt;&gt;"",$I$6,"")</f>
        <v>1612.641126853704</v>
      </c>
      <c r="F155" s="84">
        <f>IF(A155&lt;&gt;"",$I$6,"")</f>
        <v>1612.641126853704</v>
      </c>
      <c r="G155" s="6"/>
      <c r="H155" s="6"/>
      <c r="I155" s="6"/>
    </row>
    <row r="156" spans="1:9" x14ac:dyDescent="0.2">
      <c r="A156" s="7">
        <v>155</v>
      </c>
      <c r="B156" s="83">
        <f>IFERROR(IF(B155-D155&gt;=0.01,B155-D155,""),"")</f>
        <v>251982.9770549488</v>
      </c>
      <c r="C156" s="83">
        <f>IFERROR(B156*$I$4/12,"")</f>
        <v>707.65219389598121</v>
      </c>
      <c r="D156" s="84">
        <f>IFERROR(F156-C156,"")</f>
        <v>904.9889329577228</v>
      </c>
      <c r="E156" s="83">
        <f>IF(A156&lt;&gt;"",$I$6,"")</f>
        <v>1612.641126853704</v>
      </c>
      <c r="F156" s="84">
        <f>IF(A156&lt;&gt;"",$I$6,"")</f>
        <v>1612.641126853704</v>
      </c>
      <c r="G156" s="6"/>
      <c r="H156" s="6"/>
      <c r="I156" s="6"/>
    </row>
    <row r="157" spans="1:9" x14ac:dyDescent="0.2">
      <c r="A157" s="7">
        <v>156</v>
      </c>
      <c r="B157" s="83">
        <f>IFERROR(IF(B156-D156&gt;=0.01,B156-D156,""),"")</f>
        <v>251077.98812199107</v>
      </c>
      <c r="C157" s="83">
        <f>IFERROR(B157*$I$4/12,"")</f>
        <v>705.11068330925821</v>
      </c>
      <c r="D157" s="84">
        <f>IFERROR(F157-C157,"")</f>
        <v>907.5304435444458</v>
      </c>
      <c r="E157" s="83">
        <f>IF(A157&lt;&gt;"",$I$6,"")</f>
        <v>1612.641126853704</v>
      </c>
      <c r="F157" s="84">
        <f>IF(A157&lt;&gt;"",$I$6,"")</f>
        <v>1612.641126853704</v>
      </c>
      <c r="G157" s="6"/>
      <c r="H157" s="6"/>
      <c r="I157" s="6"/>
    </row>
    <row r="158" spans="1:9" x14ac:dyDescent="0.2">
      <c r="A158" s="7">
        <v>157</v>
      </c>
      <c r="B158" s="83">
        <f>IFERROR(IF(B157-D157&gt;=0.01,B157-D157,""),"")</f>
        <v>250170.45767844663</v>
      </c>
      <c r="C158" s="83">
        <f>IFERROR(B158*$I$4/12,"")</f>
        <v>702.56203531363769</v>
      </c>
      <c r="D158" s="84">
        <f>IFERROR(F158-C158,"")</f>
        <v>910.07909154006632</v>
      </c>
      <c r="E158" s="83">
        <f>IF(A158&lt;&gt;"",$I$6,"")</f>
        <v>1612.641126853704</v>
      </c>
      <c r="F158" s="84">
        <f>IF(A158&lt;&gt;"",$I$6,"")</f>
        <v>1612.641126853704</v>
      </c>
      <c r="G158" s="6"/>
      <c r="H158" s="6"/>
      <c r="I158" s="6"/>
    </row>
    <row r="159" spans="1:9" x14ac:dyDescent="0.2">
      <c r="A159" s="7">
        <v>158</v>
      </c>
      <c r="B159" s="83">
        <f>IFERROR(IF(B158-D158&gt;=0.01,B158-D158,""),"")</f>
        <v>249260.37858690656</v>
      </c>
      <c r="C159" s="83">
        <f>IFERROR(B159*$I$4/12,"")</f>
        <v>700.00622986489589</v>
      </c>
      <c r="D159" s="84">
        <f>IFERROR(F159-C159,"")</f>
        <v>912.63489698880812</v>
      </c>
      <c r="E159" s="83">
        <f>IF(A159&lt;&gt;"",$I$6,"")</f>
        <v>1612.641126853704</v>
      </c>
      <c r="F159" s="84">
        <f>IF(A159&lt;&gt;"",$I$6,"")</f>
        <v>1612.641126853704</v>
      </c>
      <c r="G159" s="6"/>
      <c r="H159" s="6"/>
      <c r="I159" s="6"/>
    </row>
    <row r="160" spans="1:9" x14ac:dyDescent="0.2">
      <c r="A160" s="7">
        <v>159</v>
      </c>
      <c r="B160" s="83">
        <f>IFERROR(IF(B159-D159&gt;=0.01,B159-D159,""),"")</f>
        <v>248347.74368991776</v>
      </c>
      <c r="C160" s="83">
        <f>IFERROR(B160*$I$4/12,"")</f>
        <v>697.44324686251912</v>
      </c>
      <c r="D160" s="84">
        <f>IFERROR(F160-C160,"")</f>
        <v>915.19787999118489</v>
      </c>
      <c r="E160" s="83">
        <f>IF(A160&lt;&gt;"",$I$6,"")</f>
        <v>1612.641126853704</v>
      </c>
      <c r="F160" s="84">
        <f>IF(A160&lt;&gt;"",$I$6,"")</f>
        <v>1612.641126853704</v>
      </c>
      <c r="G160" s="6"/>
      <c r="H160" s="6"/>
      <c r="I160" s="6"/>
    </row>
    <row r="161" spans="1:9" x14ac:dyDescent="0.2">
      <c r="A161" s="7">
        <v>160</v>
      </c>
      <c r="B161" s="83">
        <f>IFERROR(IF(B160-D160&gt;=0.01,B160-D160,""),"")</f>
        <v>247432.54580992658</v>
      </c>
      <c r="C161" s="83">
        <f>IFERROR(B161*$I$4/12,"")</f>
        <v>694.87306614954377</v>
      </c>
      <c r="D161" s="84">
        <f>IFERROR(F161-C161,"")</f>
        <v>917.76806070416023</v>
      </c>
      <c r="E161" s="83">
        <f>IF(A161&lt;&gt;"",$I$6,"")</f>
        <v>1612.641126853704</v>
      </c>
      <c r="F161" s="84">
        <f>IF(A161&lt;&gt;"",$I$6,"")</f>
        <v>1612.641126853704</v>
      </c>
      <c r="G161" s="6"/>
      <c r="H161" s="6"/>
      <c r="I161" s="6"/>
    </row>
    <row r="162" spans="1:9" x14ac:dyDescent="0.2">
      <c r="A162" s="7">
        <v>161</v>
      </c>
      <c r="B162" s="83">
        <f>IFERROR(IF(B161-D161&gt;=0.01,B161-D161,""),"")</f>
        <v>246514.77774922241</v>
      </c>
      <c r="C162" s="83">
        <f>IFERROR(B162*$I$4/12,"")</f>
        <v>692.29566751239963</v>
      </c>
      <c r="D162" s="84">
        <f>IFERROR(F162-C162,"")</f>
        <v>920.34545934130438</v>
      </c>
      <c r="E162" s="83">
        <f>IF(A162&lt;&gt;"",$I$6,"")</f>
        <v>1612.641126853704</v>
      </c>
      <c r="F162" s="84">
        <f>IF(A162&lt;&gt;"",$I$6,"")</f>
        <v>1612.641126853704</v>
      </c>
      <c r="G162" s="6"/>
      <c r="H162" s="6"/>
      <c r="I162" s="6"/>
    </row>
    <row r="163" spans="1:9" x14ac:dyDescent="0.2">
      <c r="A163" s="7">
        <v>162</v>
      </c>
      <c r="B163" s="83">
        <f>IFERROR(IF(B162-D162&gt;=0.01,B162-D162,""),"")</f>
        <v>245594.43228988111</v>
      </c>
      <c r="C163" s="83">
        <f>IFERROR(B163*$I$4/12,"")</f>
        <v>689.71103068074945</v>
      </c>
      <c r="D163" s="84">
        <f>IFERROR(F163-C163,"")</f>
        <v>922.93009617295456</v>
      </c>
      <c r="E163" s="83">
        <f>IF(A163&lt;&gt;"",$I$6,"")</f>
        <v>1612.641126853704</v>
      </c>
      <c r="F163" s="84">
        <f>IF(A163&lt;&gt;"",$I$6,"")</f>
        <v>1612.641126853704</v>
      </c>
      <c r="G163" s="6"/>
      <c r="H163" s="6"/>
      <c r="I163" s="6"/>
    </row>
    <row r="164" spans="1:9" x14ac:dyDescent="0.2">
      <c r="A164" s="7">
        <v>163</v>
      </c>
      <c r="B164" s="83">
        <f>IFERROR(IF(B163-D163&gt;=0.01,B163-D163,""),"")</f>
        <v>244671.50219370815</v>
      </c>
      <c r="C164" s="83">
        <f>IFERROR(B164*$I$4/12,"")</f>
        <v>687.11913532733035</v>
      </c>
      <c r="D164" s="84">
        <f>IFERROR(F164-C164,"")</f>
        <v>925.52199152637365</v>
      </c>
      <c r="E164" s="83">
        <f>IF(A164&lt;&gt;"",$I$6,"")</f>
        <v>1612.641126853704</v>
      </c>
      <c r="F164" s="84">
        <f>IF(A164&lt;&gt;"",$I$6,"")</f>
        <v>1612.641126853704</v>
      </c>
      <c r="G164" s="6"/>
      <c r="H164" s="6"/>
      <c r="I164" s="6"/>
    </row>
    <row r="165" spans="1:9" x14ac:dyDescent="0.2">
      <c r="A165" s="7">
        <v>164</v>
      </c>
      <c r="B165" s="83">
        <f>IFERROR(IF(B164-D164&gt;=0.01,B164-D164,""),"")</f>
        <v>243745.98020218176</v>
      </c>
      <c r="C165" s="83">
        <f>IFERROR(B165*$I$4/12,"")</f>
        <v>684.51996106779382</v>
      </c>
      <c r="D165" s="84">
        <f>IFERROR(F165-C165,"")</f>
        <v>928.12116578591019</v>
      </c>
      <c r="E165" s="83">
        <f>IF(A165&lt;&gt;"",$I$6,"")</f>
        <v>1612.641126853704</v>
      </c>
      <c r="F165" s="84">
        <f>IF(A165&lt;&gt;"",$I$6,"")</f>
        <v>1612.641126853704</v>
      </c>
      <c r="G165" s="6"/>
      <c r="H165" s="6"/>
      <c r="I165" s="6"/>
    </row>
    <row r="166" spans="1:9" x14ac:dyDescent="0.2">
      <c r="A166" s="7">
        <v>165</v>
      </c>
      <c r="B166" s="83">
        <f>IFERROR(IF(B165-D165&gt;=0.01,B165-D165,""),"")</f>
        <v>242817.85903639585</v>
      </c>
      <c r="C166" s="83">
        <f>IFERROR(B166*$I$4/12,"")</f>
        <v>681.91348746054507</v>
      </c>
      <c r="D166" s="84">
        <f>IFERROR(F166-C166,"")</f>
        <v>930.72763939315894</v>
      </c>
      <c r="E166" s="83">
        <f>IF(A166&lt;&gt;"",$I$6,"")</f>
        <v>1612.641126853704</v>
      </c>
      <c r="F166" s="84">
        <f>IF(A166&lt;&gt;"",$I$6,"")</f>
        <v>1612.641126853704</v>
      </c>
      <c r="G166" s="6"/>
      <c r="H166" s="6"/>
      <c r="I166" s="6"/>
    </row>
    <row r="167" spans="1:9" x14ac:dyDescent="0.2">
      <c r="A167" s="7">
        <v>166</v>
      </c>
      <c r="B167" s="83">
        <f>IFERROR(IF(B166-D166&gt;=0.01,B166-D166,""),"")</f>
        <v>241887.1313970027</v>
      </c>
      <c r="C167" s="83">
        <f>IFERROR(B167*$I$4/12,"")</f>
        <v>679.29969400658263</v>
      </c>
      <c r="D167" s="84">
        <f>IFERROR(F167-C167,"")</f>
        <v>933.34143284712138</v>
      </c>
      <c r="E167" s="83">
        <f>IF(A167&lt;&gt;"",$I$6,"")</f>
        <v>1612.641126853704</v>
      </c>
      <c r="F167" s="84">
        <f>IF(A167&lt;&gt;"",$I$6,"")</f>
        <v>1612.641126853704</v>
      </c>
      <c r="G167" s="6"/>
      <c r="H167" s="6"/>
      <c r="I167" s="6"/>
    </row>
    <row r="168" spans="1:9" x14ac:dyDescent="0.2">
      <c r="A168" s="7">
        <v>167</v>
      </c>
      <c r="B168" s="83">
        <f>IFERROR(IF(B167-D167&gt;=0.01,B167-D167,""),"")</f>
        <v>240953.78996415559</v>
      </c>
      <c r="C168" s="83">
        <f>IFERROR(B168*$I$4/12,"")</f>
        <v>676.67856014933693</v>
      </c>
      <c r="D168" s="84">
        <f>IFERROR(F168-C168,"")</f>
        <v>935.96256670436708</v>
      </c>
      <c r="E168" s="83">
        <f>IF(A168&lt;&gt;"",$I$6,"")</f>
        <v>1612.641126853704</v>
      </c>
      <c r="F168" s="84">
        <f>IF(A168&lt;&gt;"",$I$6,"")</f>
        <v>1612.641126853704</v>
      </c>
      <c r="G168" s="6"/>
      <c r="H168" s="6"/>
      <c r="I168" s="6"/>
    </row>
    <row r="169" spans="1:9" x14ac:dyDescent="0.2">
      <c r="A169" s="7">
        <v>168</v>
      </c>
      <c r="B169" s="83">
        <f>IFERROR(IF(B168-D168&gt;=0.01,B168-D168,""),"")</f>
        <v>240017.82739745121</v>
      </c>
      <c r="C169" s="83">
        <f>IFERROR(B169*$I$4/12,"")</f>
        <v>674.05006527450882</v>
      </c>
      <c r="D169" s="84">
        <f>IFERROR(F169-C169,"")</f>
        <v>938.59106157919518</v>
      </c>
      <c r="E169" s="83">
        <f>IF(A169&lt;&gt;"",$I$6,"")</f>
        <v>1612.641126853704</v>
      </c>
      <c r="F169" s="84">
        <f>IF(A169&lt;&gt;"",$I$6,"")</f>
        <v>1612.641126853704</v>
      </c>
      <c r="G169" s="6"/>
      <c r="H169" s="6"/>
      <c r="I169" s="6"/>
    </row>
    <row r="170" spans="1:9" x14ac:dyDescent="0.2">
      <c r="A170" s="7">
        <v>169</v>
      </c>
      <c r="B170" s="83">
        <f>IFERROR(IF(B169-D169&gt;=0.01,B169-D169,""),"")</f>
        <v>239079.236335872</v>
      </c>
      <c r="C170" s="83">
        <f>IFERROR(B170*$I$4/12,"")</f>
        <v>671.41418870990719</v>
      </c>
      <c r="D170" s="84">
        <f>IFERROR(F170-C170,"")</f>
        <v>941.22693814379681</v>
      </c>
      <c r="E170" s="83">
        <f>IF(A170&lt;&gt;"",$I$6,"")</f>
        <v>1612.641126853704</v>
      </c>
      <c r="F170" s="84">
        <f>IF(A170&lt;&gt;"",$I$6,"")</f>
        <v>1612.641126853704</v>
      </c>
      <c r="G170" s="6"/>
      <c r="H170" s="6"/>
      <c r="I170" s="6"/>
    </row>
    <row r="171" spans="1:9" x14ac:dyDescent="0.2">
      <c r="A171" s="7">
        <v>170</v>
      </c>
      <c r="B171" s="83">
        <f>IFERROR(IF(B170-D170&gt;=0.01,B170-D170,""),"")</f>
        <v>238138.00939772819</v>
      </c>
      <c r="C171" s="83">
        <f>IFERROR(B171*$I$4/12,"")</f>
        <v>668.77090972528674</v>
      </c>
      <c r="D171" s="84">
        <f>IFERROR(F171-C171,"")</f>
        <v>943.87021712841727</v>
      </c>
      <c r="E171" s="83">
        <f>IF(A171&lt;&gt;"",$I$6,"")</f>
        <v>1612.641126853704</v>
      </c>
      <c r="F171" s="84">
        <f>IF(A171&lt;&gt;"",$I$6,"")</f>
        <v>1612.641126853704</v>
      </c>
      <c r="G171" s="6"/>
      <c r="H171" s="6"/>
      <c r="I171" s="6"/>
    </row>
    <row r="172" spans="1:9" x14ac:dyDescent="0.2">
      <c r="A172" s="7">
        <v>171</v>
      </c>
      <c r="B172" s="83">
        <f>IFERROR(IF(B171-D171&gt;=0.01,B171-D171,""),"")</f>
        <v>237194.13918059977</v>
      </c>
      <c r="C172" s="83">
        <f>IFERROR(B172*$I$4/12,"")</f>
        <v>666.12020753218439</v>
      </c>
      <c r="D172" s="84">
        <f>IFERROR(F172-C172,"")</f>
        <v>946.52091932151961</v>
      </c>
      <c r="E172" s="83">
        <f>IF(A172&lt;&gt;"",$I$6,"")</f>
        <v>1612.641126853704</v>
      </c>
      <c r="F172" s="84">
        <f>IF(A172&lt;&gt;"",$I$6,"")</f>
        <v>1612.641126853704</v>
      </c>
      <c r="G172" s="6"/>
      <c r="H172" s="6"/>
      <c r="I172" s="6"/>
    </row>
    <row r="173" spans="1:9" x14ac:dyDescent="0.2">
      <c r="A173" s="7">
        <v>172</v>
      </c>
      <c r="B173" s="83">
        <f>IFERROR(IF(B172-D172&gt;=0.01,B172-D172,""),"")</f>
        <v>236247.61826127826</v>
      </c>
      <c r="C173" s="83">
        <f>IFERROR(B173*$I$4/12,"")</f>
        <v>663.4620612837565</v>
      </c>
      <c r="D173" s="84">
        <f>IFERROR(F173-C173,"")</f>
        <v>949.17906556994751</v>
      </c>
      <c r="E173" s="83">
        <f>IF(A173&lt;&gt;"",$I$6,"")</f>
        <v>1612.641126853704</v>
      </c>
      <c r="F173" s="84">
        <f>IF(A173&lt;&gt;"",$I$6,"")</f>
        <v>1612.641126853704</v>
      </c>
      <c r="G173" s="6"/>
      <c r="H173" s="6"/>
      <c r="I173" s="6"/>
    </row>
    <row r="174" spans="1:9" x14ac:dyDescent="0.2">
      <c r="A174" s="7">
        <v>173</v>
      </c>
      <c r="B174" s="83">
        <f>IFERROR(IF(B173-D173&gt;=0.01,B173-D173,""),"")</f>
        <v>235298.43919570831</v>
      </c>
      <c r="C174" s="83">
        <f>IFERROR(B174*$I$4/12,"")</f>
        <v>660.7964500746142</v>
      </c>
      <c r="D174" s="84">
        <f>IFERROR(F174-C174,"")</f>
        <v>951.84467677908981</v>
      </c>
      <c r="E174" s="83">
        <f>IF(A174&lt;&gt;"",$I$6,"")</f>
        <v>1612.641126853704</v>
      </c>
      <c r="F174" s="84">
        <f>IF(A174&lt;&gt;"",$I$6,"")</f>
        <v>1612.641126853704</v>
      </c>
      <c r="G174" s="6"/>
      <c r="H174" s="6"/>
      <c r="I174" s="6"/>
    </row>
    <row r="175" spans="1:9" x14ac:dyDescent="0.2">
      <c r="A175" s="7">
        <v>174</v>
      </c>
      <c r="B175" s="83">
        <f>IFERROR(IF(B174-D174&gt;=0.01,B174-D174,""),"")</f>
        <v>234346.59451892923</v>
      </c>
      <c r="C175" s="83">
        <f>IFERROR(B175*$I$4/12,"")</f>
        <v>658.12335294065963</v>
      </c>
      <c r="D175" s="84">
        <f>IFERROR(F175-C175,"")</f>
        <v>954.51777391304438</v>
      </c>
      <c r="E175" s="83">
        <f>IF(A175&lt;&gt;"",$I$6,"")</f>
        <v>1612.641126853704</v>
      </c>
      <c r="F175" s="84">
        <f>IF(A175&lt;&gt;"",$I$6,"")</f>
        <v>1612.641126853704</v>
      </c>
      <c r="G175" s="6"/>
      <c r="H175" s="6"/>
      <c r="I175" s="6"/>
    </row>
    <row r="176" spans="1:9" x14ac:dyDescent="0.2">
      <c r="A176" s="7">
        <v>175</v>
      </c>
      <c r="B176" s="83">
        <f>IFERROR(IF(B175-D175&gt;=0.01,B175-D175,""),"")</f>
        <v>233392.07674501618</v>
      </c>
      <c r="C176" s="83">
        <f>IFERROR(B176*$I$4/12,"")</f>
        <v>655.44274885892048</v>
      </c>
      <c r="D176" s="84">
        <f>IFERROR(F176-C176,"")</f>
        <v>957.19837799478353</v>
      </c>
      <c r="E176" s="83">
        <f>IF(A176&lt;&gt;"",$I$6,"")</f>
        <v>1612.641126853704</v>
      </c>
      <c r="F176" s="84">
        <f>IF(A176&lt;&gt;"",$I$6,"")</f>
        <v>1612.641126853704</v>
      </c>
      <c r="G176" s="6"/>
      <c r="H176" s="6"/>
      <c r="I176" s="6"/>
    </row>
    <row r="177" spans="1:9" x14ac:dyDescent="0.2">
      <c r="A177" s="7">
        <v>176</v>
      </c>
      <c r="B177" s="83">
        <f>IFERROR(IF(B176-D176&gt;=0.01,B176-D176,""),"")</f>
        <v>232434.87836702139</v>
      </c>
      <c r="C177" s="83">
        <f>IFERROR(B177*$I$4/12,"")</f>
        <v>652.75461674738506</v>
      </c>
      <c r="D177" s="84">
        <f>IFERROR(F177-C177,"")</f>
        <v>959.88651010631895</v>
      </c>
      <c r="E177" s="83">
        <f>IF(A177&lt;&gt;"",$I$6,"")</f>
        <v>1612.641126853704</v>
      </c>
      <c r="F177" s="84">
        <f>IF(A177&lt;&gt;"",$I$6,"")</f>
        <v>1612.641126853704</v>
      </c>
      <c r="G177" s="6"/>
      <c r="H177" s="6"/>
      <c r="I177" s="6"/>
    </row>
    <row r="178" spans="1:9" x14ac:dyDescent="0.2">
      <c r="A178" s="7">
        <v>177</v>
      </c>
      <c r="B178" s="83">
        <f>IFERROR(IF(B177-D177&gt;=0.01,B177-D177,""),"")</f>
        <v>231474.99185691506</v>
      </c>
      <c r="C178" s="83">
        <f>IFERROR(B178*$I$4/12,"")</f>
        <v>650.05893546483651</v>
      </c>
      <c r="D178" s="84">
        <f>IFERROR(F178-C178,"")</f>
        <v>962.5821913888675</v>
      </c>
      <c r="E178" s="83">
        <f>IF(A178&lt;&gt;"",$I$6,"")</f>
        <v>1612.641126853704</v>
      </c>
      <c r="F178" s="84">
        <f>IF(A178&lt;&gt;"",$I$6,"")</f>
        <v>1612.641126853704</v>
      </c>
      <c r="G178" s="6"/>
      <c r="H178" s="6"/>
      <c r="I178" s="6"/>
    </row>
    <row r="179" spans="1:9" x14ac:dyDescent="0.2">
      <c r="A179" s="7">
        <v>178</v>
      </c>
      <c r="B179" s="83">
        <f>IFERROR(IF(B178-D178&gt;=0.01,B178-D178,""),"")</f>
        <v>230512.40966552618</v>
      </c>
      <c r="C179" s="83">
        <f>IFERROR(B179*$I$4/12,"")</f>
        <v>647.35568381068606</v>
      </c>
      <c r="D179" s="84">
        <f>IFERROR(F179-C179,"")</f>
        <v>965.28544304301795</v>
      </c>
      <c r="E179" s="83">
        <f>IF(A179&lt;&gt;"",$I$6,"")</f>
        <v>1612.641126853704</v>
      </c>
      <c r="F179" s="84">
        <f>IF(A179&lt;&gt;"",$I$6,"")</f>
        <v>1612.641126853704</v>
      </c>
      <c r="G179" s="6"/>
      <c r="H179" s="6"/>
      <c r="I179" s="6"/>
    </row>
    <row r="180" spans="1:9" x14ac:dyDescent="0.2">
      <c r="A180" s="7">
        <v>179</v>
      </c>
      <c r="B180" s="83">
        <f>IFERROR(IF(B179-D179&gt;=0.01,B179-D179,""),"")</f>
        <v>229547.12422248317</v>
      </c>
      <c r="C180" s="83">
        <f>IFERROR(B180*$I$4/12,"")</f>
        <v>644.64484052480691</v>
      </c>
      <c r="D180" s="84">
        <f>IFERROR(F180-C180,"")</f>
        <v>967.9962863288971</v>
      </c>
      <c r="E180" s="83">
        <f>IF(A180&lt;&gt;"",$I$6,"")</f>
        <v>1612.641126853704</v>
      </c>
      <c r="F180" s="84">
        <f>IF(A180&lt;&gt;"",$I$6,"")</f>
        <v>1612.641126853704</v>
      </c>
      <c r="G180" s="6"/>
      <c r="H180" s="6"/>
      <c r="I180" s="6"/>
    </row>
    <row r="181" spans="1:9" x14ac:dyDescent="0.2">
      <c r="A181" s="7">
        <v>180</v>
      </c>
      <c r="B181" s="83">
        <f>IFERROR(IF(B180-D180&gt;=0.01,B180-D180,""),"")</f>
        <v>228579.12793615425</v>
      </c>
      <c r="C181" s="83">
        <f>IFERROR(B181*$I$4/12,"")</f>
        <v>641.92638428736655</v>
      </c>
      <c r="D181" s="84">
        <f>IFERROR(F181-C181,"")</f>
        <v>970.71474256633746</v>
      </c>
      <c r="E181" s="83">
        <f>IF(A181&lt;&gt;"",$I$6,"")</f>
        <v>1612.641126853704</v>
      </c>
      <c r="F181" s="84">
        <f>IF(A181&lt;&gt;"",$I$6,"")</f>
        <v>1612.641126853704</v>
      </c>
      <c r="G181" s="6"/>
      <c r="H181" s="6"/>
      <c r="I181" s="6"/>
    </row>
    <row r="182" spans="1:9" x14ac:dyDescent="0.2">
      <c r="A182" s="7">
        <v>181</v>
      </c>
      <c r="B182" s="83">
        <f>IFERROR(IF(B181-D181&gt;=0.01,B181-D181,""),"")</f>
        <v>227608.41319358791</v>
      </c>
      <c r="C182" s="83">
        <f>IFERROR(B182*$I$4/12,"")</f>
        <v>639.2002937186594</v>
      </c>
      <c r="D182" s="84">
        <f>IFERROR(F182-C182,"")</f>
        <v>973.44083313504461</v>
      </c>
      <c r="E182" s="83">
        <f>IF(A182&lt;&gt;"",$I$6,"")</f>
        <v>1612.641126853704</v>
      </c>
      <c r="F182" s="84">
        <f>IF(A182&lt;&gt;"",$I$6,"")</f>
        <v>1612.641126853704</v>
      </c>
      <c r="G182" s="6"/>
      <c r="H182" s="6"/>
      <c r="I182" s="6"/>
    </row>
    <row r="183" spans="1:9" x14ac:dyDescent="0.2">
      <c r="A183" s="7">
        <v>182</v>
      </c>
      <c r="B183" s="83">
        <f>IFERROR(IF(B182-D182&gt;=0.01,B182-D182,""),"")</f>
        <v>226634.97236045287</v>
      </c>
      <c r="C183" s="83">
        <f>IFERROR(B183*$I$4/12,"")</f>
        <v>636.46654737893846</v>
      </c>
      <c r="D183" s="84">
        <f>IFERROR(F183-C183,"")</f>
        <v>976.17457947476555</v>
      </c>
      <c r="E183" s="83">
        <f>IF(A183&lt;&gt;"",$I$6,"")</f>
        <v>1612.641126853704</v>
      </c>
      <c r="F183" s="84">
        <f>IF(A183&lt;&gt;"",$I$6,"")</f>
        <v>1612.641126853704</v>
      </c>
      <c r="G183" s="6"/>
      <c r="H183" s="6"/>
      <c r="I183" s="6"/>
    </row>
    <row r="184" spans="1:9" x14ac:dyDescent="0.2">
      <c r="A184" s="7">
        <v>183</v>
      </c>
      <c r="B184" s="83">
        <f>IFERROR(IF(B183-D183&gt;=0.01,B183-D183,""),"")</f>
        <v>225658.79778097812</v>
      </c>
      <c r="C184" s="83">
        <f>IFERROR(B184*$I$4/12,"")</f>
        <v>633.72512376824682</v>
      </c>
      <c r="D184" s="84">
        <f>IFERROR(F184-C184,"")</f>
        <v>978.91600308545719</v>
      </c>
      <c r="E184" s="83">
        <f>IF(A184&lt;&gt;"",$I$6,"")</f>
        <v>1612.641126853704</v>
      </c>
      <c r="F184" s="84">
        <f>IF(A184&lt;&gt;"",$I$6,"")</f>
        <v>1612.641126853704</v>
      </c>
      <c r="G184" s="6"/>
      <c r="H184" s="6"/>
      <c r="I184" s="6"/>
    </row>
    <row r="185" spans="1:9" x14ac:dyDescent="0.2">
      <c r="A185" s="7">
        <v>184</v>
      </c>
      <c r="B185" s="83">
        <f>IFERROR(IF(B184-D184&gt;=0.01,B184-D184,""),"")</f>
        <v>224679.88177789265</v>
      </c>
      <c r="C185" s="83">
        <f>IFERROR(B185*$I$4/12,"")</f>
        <v>630.97600132624859</v>
      </c>
      <c r="D185" s="84">
        <f>IFERROR(F185-C185,"")</f>
        <v>981.66512552745542</v>
      </c>
      <c r="E185" s="83">
        <f>IF(A185&lt;&gt;"",$I$6,"")</f>
        <v>1612.641126853704</v>
      </c>
      <c r="F185" s="84">
        <f>IF(A185&lt;&gt;"",$I$6,"")</f>
        <v>1612.641126853704</v>
      </c>
      <c r="G185" s="6"/>
      <c r="H185" s="6"/>
      <c r="I185" s="6"/>
    </row>
    <row r="186" spans="1:9" x14ac:dyDescent="0.2">
      <c r="A186" s="7">
        <v>185</v>
      </c>
      <c r="B186" s="83">
        <f>IFERROR(IF(B185-D185&gt;=0.01,B185-D185,""),"")</f>
        <v>223698.2166523652</v>
      </c>
      <c r="C186" s="83">
        <f>IFERROR(B186*$I$4/12,"")</f>
        <v>628.21915843205898</v>
      </c>
      <c r="D186" s="84">
        <f>IFERROR(F186-C186,"")</f>
        <v>984.42196842164503</v>
      </c>
      <c r="E186" s="83">
        <f>IF(A186&lt;&gt;"",$I$6,"")</f>
        <v>1612.641126853704</v>
      </c>
      <c r="F186" s="84">
        <f>IF(A186&lt;&gt;"",$I$6,"")</f>
        <v>1612.641126853704</v>
      </c>
      <c r="G186" s="6"/>
      <c r="H186" s="6"/>
      <c r="I186" s="6"/>
    </row>
    <row r="187" spans="1:9" x14ac:dyDescent="0.2">
      <c r="A187" s="7">
        <v>186</v>
      </c>
      <c r="B187" s="83">
        <f>IFERROR(IF(B186-D186&gt;=0.01,B186-D186,""),"")</f>
        <v>222713.79468394356</v>
      </c>
      <c r="C187" s="83">
        <f>IFERROR(B187*$I$4/12,"")</f>
        <v>625.45457340407484</v>
      </c>
      <c r="D187" s="84">
        <f>IFERROR(F187-C187,"")</f>
        <v>987.18655344962917</v>
      </c>
      <c r="E187" s="83">
        <f>IF(A187&lt;&gt;"",$I$6,"")</f>
        <v>1612.641126853704</v>
      </c>
      <c r="F187" s="84">
        <f>IF(A187&lt;&gt;"",$I$6,"")</f>
        <v>1612.641126853704</v>
      </c>
      <c r="G187" s="6"/>
      <c r="H187" s="6"/>
      <c r="I187" s="6"/>
    </row>
    <row r="188" spans="1:9" x14ac:dyDescent="0.2">
      <c r="A188" s="7">
        <v>187</v>
      </c>
      <c r="B188" s="83">
        <f>IFERROR(IF(B187-D187&gt;=0.01,B187-D187,""),"")</f>
        <v>221726.60813049393</v>
      </c>
      <c r="C188" s="83">
        <f>IFERROR(B188*$I$4/12,"")</f>
        <v>622.68222449980374</v>
      </c>
      <c r="D188" s="84">
        <f>IFERROR(F188-C188,"")</f>
        <v>989.95890235390027</v>
      </c>
      <c r="E188" s="83">
        <f>IF(A188&lt;&gt;"",$I$6,"")</f>
        <v>1612.641126853704</v>
      </c>
      <c r="F188" s="84">
        <f>IF(A188&lt;&gt;"",$I$6,"")</f>
        <v>1612.641126853704</v>
      </c>
      <c r="G188" s="6"/>
      <c r="H188" s="6"/>
      <c r="I188" s="6"/>
    </row>
    <row r="189" spans="1:9" x14ac:dyDescent="0.2">
      <c r="A189" s="7">
        <v>188</v>
      </c>
      <c r="B189" s="83">
        <f>IFERROR(IF(B188-D188&gt;=0.01,B188-D188,""),"")</f>
        <v>220736.64922814004</v>
      </c>
      <c r="C189" s="83">
        <f>IFERROR(B189*$I$4/12,"")</f>
        <v>619.9020899156933</v>
      </c>
      <c r="D189" s="84">
        <f>IFERROR(F189-C189,"")</f>
        <v>992.73903693801071</v>
      </c>
      <c r="E189" s="83">
        <f>IF(A189&lt;&gt;"",$I$6,"")</f>
        <v>1612.641126853704</v>
      </c>
      <c r="F189" s="84">
        <f>IF(A189&lt;&gt;"",$I$6,"")</f>
        <v>1612.641126853704</v>
      </c>
      <c r="G189" s="6"/>
      <c r="H189" s="6"/>
      <c r="I189" s="6"/>
    </row>
    <row r="190" spans="1:9" x14ac:dyDescent="0.2">
      <c r="A190" s="7">
        <v>189</v>
      </c>
      <c r="B190" s="83">
        <f>IFERROR(IF(B189-D189&gt;=0.01,B189-D189,""),"")</f>
        <v>219743.91019120204</v>
      </c>
      <c r="C190" s="83">
        <f>IFERROR(B190*$I$4/12,"")</f>
        <v>617.11414778695905</v>
      </c>
      <c r="D190" s="84">
        <f>IFERROR(F190-C190,"")</f>
        <v>995.52697906674496</v>
      </c>
      <c r="E190" s="83">
        <f>IF(A190&lt;&gt;"",$I$6,"")</f>
        <v>1612.641126853704</v>
      </c>
      <c r="F190" s="84">
        <f>IF(A190&lt;&gt;"",$I$6,"")</f>
        <v>1612.641126853704</v>
      </c>
      <c r="G190" s="6"/>
      <c r="H190" s="6"/>
      <c r="I190" s="6"/>
    </row>
    <row r="191" spans="1:9" x14ac:dyDescent="0.2">
      <c r="A191" s="7">
        <v>190</v>
      </c>
      <c r="B191" s="83">
        <f>IFERROR(IF(B190-D190&gt;=0.01,B190-D190,""),"")</f>
        <v>218748.38321213529</v>
      </c>
      <c r="C191" s="83">
        <f>IFERROR(B191*$I$4/12,"")</f>
        <v>614.31837618741326</v>
      </c>
      <c r="D191" s="84">
        <f>IFERROR(F191-C191,"")</f>
        <v>998.32275066629074</v>
      </c>
      <c r="E191" s="83">
        <f>IF(A191&lt;&gt;"",$I$6,"")</f>
        <v>1612.641126853704</v>
      </c>
      <c r="F191" s="84">
        <f>IF(A191&lt;&gt;"",$I$6,"")</f>
        <v>1612.641126853704</v>
      </c>
      <c r="G191" s="6"/>
      <c r="H191" s="6"/>
      <c r="I191" s="6"/>
    </row>
    <row r="192" spans="1:9" x14ac:dyDescent="0.2">
      <c r="A192" s="7">
        <v>191</v>
      </c>
      <c r="B192" s="83">
        <f>IFERROR(IF(B191-D191&gt;=0.01,B191-D191,""),"")</f>
        <v>217750.06046146899</v>
      </c>
      <c r="C192" s="83">
        <f>IFERROR(B192*$I$4/12,"")</f>
        <v>611.5147531292921</v>
      </c>
      <c r="D192" s="84">
        <f>IFERROR(F192-C192,"")</f>
        <v>1001.1263737244119</v>
      </c>
      <c r="E192" s="83">
        <f>IF(A192&lt;&gt;"",$I$6,"")</f>
        <v>1612.641126853704</v>
      </c>
      <c r="F192" s="84">
        <f>IF(A192&lt;&gt;"",$I$6,"")</f>
        <v>1612.641126853704</v>
      </c>
      <c r="G192" s="6"/>
      <c r="H192" s="6"/>
      <c r="I192" s="6"/>
    </row>
    <row r="193" spans="1:9" x14ac:dyDescent="0.2">
      <c r="A193" s="7">
        <v>192</v>
      </c>
      <c r="B193" s="83">
        <f>IFERROR(IF(B192-D192&gt;=0.01,B192-D192,""),"")</f>
        <v>216748.93408774459</v>
      </c>
      <c r="C193" s="83">
        <f>IFERROR(B193*$I$4/12,"")</f>
        <v>608.70325656308273</v>
      </c>
      <c r="D193" s="84">
        <f>IFERROR(F193-C193,"")</f>
        <v>1003.9378702906213</v>
      </c>
      <c r="E193" s="83">
        <f>IF(A193&lt;&gt;"",$I$6,"")</f>
        <v>1612.641126853704</v>
      </c>
      <c r="F193" s="84">
        <f>IF(A193&lt;&gt;"",$I$6,"")</f>
        <v>1612.641126853704</v>
      </c>
      <c r="G193" s="6"/>
      <c r="H193" s="6"/>
      <c r="I193" s="6"/>
    </row>
    <row r="194" spans="1:9" x14ac:dyDescent="0.2">
      <c r="A194" s="7">
        <v>193</v>
      </c>
      <c r="B194" s="83">
        <f>IFERROR(IF(B193-D193&gt;=0.01,B193-D193,""),"")</f>
        <v>215744.99621745397</v>
      </c>
      <c r="C194" s="83">
        <f>IFERROR(B194*$I$4/12,"")</f>
        <v>605.88386437734994</v>
      </c>
      <c r="D194" s="84">
        <f>IFERROR(F194-C194,"")</f>
        <v>1006.7572624763541</v>
      </c>
      <c r="E194" s="83">
        <f>IF(A194&lt;&gt;"",$I$6,"")</f>
        <v>1612.641126853704</v>
      </c>
      <c r="F194" s="84">
        <f>IF(A194&lt;&gt;"",$I$6,"")</f>
        <v>1612.641126853704</v>
      </c>
      <c r="G194" s="6"/>
      <c r="H194" s="6"/>
      <c r="I194" s="6"/>
    </row>
    <row r="195" spans="1:9" x14ac:dyDescent="0.2">
      <c r="A195" s="7">
        <v>194</v>
      </c>
      <c r="B195" s="83">
        <f>IFERROR(IF(B194-D194&gt;=0.01,B194-D194,""),"")</f>
        <v>214738.23895497763</v>
      </c>
      <c r="C195" s="83">
        <f>IFERROR(B195*$I$4/12,"")</f>
        <v>603.05655439856218</v>
      </c>
      <c r="D195" s="84">
        <f>IFERROR(F195-C195,"")</f>
        <v>1009.5845724551418</v>
      </c>
      <c r="E195" s="83">
        <f>IF(A195&lt;&gt;"",$I$6,"")</f>
        <v>1612.641126853704</v>
      </c>
      <c r="F195" s="84">
        <f>IF(A195&lt;&gt;"",$I$6,"")</f>
        <v>1612.641126853704</v>
      </c>
      <c r="G195" s="6"/>
      <c r="H195" s="6"/>
      <c r="I195" s="6"/>
    </row>
    <row r="196" spans="1:9" x14ac:dyDescent="0.2">
      <c r="A196" s="7">
        <v>195</v>
      </c>
      <c r="B196" s="83">
        <f>IFERROR(IF(B195-D195&gt;=0.01,B195-D195,""),"")</f>
        <v>213728.65438252248</v>
      </c>
      <c r="C196" s="83">
        <f>IFERROR(B196*$I$4/12,"")</f>
        <v>600.22130439091734</v>
      </c>
      <c r="D196" s="84">
        <f>IFERROR(F196-C196,"")</f>
        <v>1012.4198224627867</v>
      </c>
      <c r="E196" s="83">
        <f>IF(A196&lt;&gt;"",$I$6,"")</f>
        <v>1612.641126853704</v>
      </c>
      <c r="F196" s="84">
        <f>IF(A196&lt;&gt;"",$I$6,"")</f>
        <v>1612.641126853704</v>
      </c>
      <c r="G196" s="6"/>
      <c r="H196" s="6"/>
      <c r="I196" s="6"/>
    </row>
    <row r="197" spans="1:9" x14ac:dyDescent="0.2">
      <c r="A197" s="7">
        <v>196</v>
      </c>
      <c r="B197" s="83">
        <f>IFERROR(IF(B196-D196&gt;=0.01,B196-D196,""),"")</f>
        <v>212716.2345600597</v>
      </c>
      <c r="C197" s="83">
        <f>IFERROR(B197*$I$4/12,"")</f>
        <v>597.3780920561677</v>
      </c>
      <c r="D197" s="84">
        <f>IFERROR(F197-C197,"")</f>
        <v>1015.2630347975363</v>
      </c>
      <c r="E197" s="83">
        <f>IF(A197&lt;&gt;"",$I$6,"")</f>
        <v>1612.641126853704</v>
      </c>
      <c r="F197" s="84">
        <f>IF(A197&lt;&gt;"",$I$6,"")</f>
        <v>1612.641126853704</v>
      </c>
      <c r="G197" s="6"/>
      <c r="H197" s="6"/>
      <c r="I197" s="6"/>
    </row>
    <row r="198" spans="1:9" x14ac:dyDescent="0.2">
      <c r="A198" s="7">
        <v>197</v>
      </c>
      <c r="B198" s="83">
        <f>IFERROR(IF(B197-D197&gt;=0.01,B197-D197,""),"")</f>
        <v>211700.97152526217</v>
      </c>
      <c r="C198" s="83">
        <f>IFERROR(B198*$I$4/12,"")</f>
        <v>594.52689503344459</v>
      </c>
      <c r="D198" s="84">
        <f>IFERROR(F198-C198,"")</f>
        <v>1018.1142318202594</v>
      </c>
      <c r="E198" s="83">
        <f>IF(A198&lt;&gt;"",$I$6,"")</f>
        <v>1612.641126853704</v>
      </c>
      <c r="F198" s="84">
        <f>IF(A198&lt;&gt;"",$I$6,"")</f>
        <v>1612.641126853704</v>
      </c>
      <c r="G198" s="6"/>
      <c r="H198" s="6"/>
      <c r="I198" s="6"/>
    </row>
    <row r="199" spans="1:9" x14ac:dyDescent="0.2">
      <c r="A199" s="7">
        <v>198</v>
      </c>
      <c r="B199" s="83">
        <f>IFERROR(IF(B198-D198&gt;=0.01,B198-D198,""),"")</f>
        <v>210682.85729344192</v>
      </c>
      <c r="C199" s="83">
        <f>IFERROR(B199*$I$4/12,"")</f>
        <v>591.66769089908269</v>
      </c>
      <c r="D199" s="84">
        <f>IFERROR(F199-C199,"")</f>
        <v>1020.9734359546213</v>
      </c>
      <c r="E199" s="83">
        <f>IF(A199&lt;&gt;"",$I$6,"")</f>
        <v>1612.641126853704</v>
      </c>
      <c r="F199" s="84">
        <f>IF(A199&lt;&gt;"",$I$6,"")</f>
        <v>1612.641126853704</v>
      </c>
      <c r="G199" s="6"/>
      <c r="H199" s="6"/>
      <c r="I199" s="6"/>
    </row>
    <row r="200" spans="1:9" x14ac:dyDescent="0.2">
      <c r="A200" s="7">
        <v>199</v>
      </c>
      <c r="B200" s="83">
        <f>IFERROR(IF(B199-D199&gt;=0.01,B199-D199,""),"")</f>
        <v>209661.88385748729</v>
      </c>
      <c r="C200" s="83">
        <f>IFERROR(B200*$I$4/12,"")</f>
        <v>588.80045716644349</v>
      </c>
      <c r="D200" s="84">
        <f>IFERROR(F200-C200,"")</f>
        <v>1023.8406696872605</v>
      </c>
      <c r="E200" s="83">
        <f>IF(A200&lt;&gt;"",$I$6,"")</f>
        <v>1612.641126853704</v>
      </c>
      <c r="F200" s="84">
        <f>IF(A200&lt;&gt;"",$I$6,"")</f>
        <v>1612.641126853704</v>
      </c>
      <c r="G200" s="6"/>
      <c r="H200" s="6"/>
      <c r="I200" s="6"/>
    </row>
    <row r="201" spans="1:9" x14ac:dyDescent="0.2">
      <c r="A201" s="7">
        <v>200</v>
      </c>
      <c r="B201" s="83">
        <f>IFERROR(IF(B200-D200&gt;=0.01,B200-D200,""),"")</f>
        <v>208638.04318780004</v>
      </c>
      <c r="C201" s="83">
        <f>IFERROR(B201*$I$4/12,"")</f>
        <v>585.92517128573843</v>
      </c>
      <c r="D201" s="84">
        <f>IFERROR(F201-C201,"")</f>
        <v>1026.7159555679655</v>
      </c>
      <c r="E201" s="83">
        <f>IF(A201&lt;&gt;"",$I$6,"")</f>
        <v>1612.641126853704</v>
      </c>
      <c r="F201" s="84">
        <f>IF(A201&lt;&gt;"",$I$6,"")</f>
        <v>1612.641126853704</v>
      </c>
      <c r="G201" s="6"/>
      <c r="H201" s="6"/>
      <c r="I201" s="6"/>
    </row>
    <row r="202" spans="1:9" x14ac:dyDescent="0.2">
      <c r="A202" s="7">
        <v>201</v>
      </c>
      <c r="B202" s="83">
        <f>IFERROR(IF(B201-D201&gt;=0.01,B201-D201,""),"")</f>
        <v>207611.32723223208</v>
      </c>
      <c r="C202" s="83">
        <f>IFERROR(B202*$I$4/12,"")</f>
        <v>583.04181064385182</v>
      </c>
      <c r="D202" s="84">
        <f>IFERROR(F202-C202,"")</f>
        <v>1029.5993162098521</v>
      </c>
      <c r="E202" s="83">
        <f>IF(A202&lt;&gt;"",$I$6,"")</f>
        <v>1612.641126853704</v>
      </c>
      <c r="F202" s="84">
        <f>IF(A202&lt;&gt;"",$I$6,"")</f>
        <v>1612.641126853704</v>
      </c>
      <c r="G202" s="6"/>
      <c r="H202" s="6"/>
      <c r="I202" s="6"/>
    </row>
    <row r="203" spans="1:9" x14ac:dyDescent="0.2">
      <c r="A203" s="7">
        <v>202</v>
      </c>
      <c r="B203" s="83">
        <f>IFERROR(IF(B202-D202&gt;=0.01,B202-D202,""),"")</f>
        <v>206581.72791602224</v>
      </c>
      <c r="C203" s="83">
        <f>IFERROR(B203*$I$4/12,"")</f>
        <v>580.15035256416252</v>
      </c>
      <c r="D203" s="84">
        <f>IFERROR(F203-C203,"")</f>
        <v>1032.4907742895416</v>
      </c>
      <c r="E203" s="83">
        <f>IF(A203&lt;&gt;"",$I$6,"")</f>
        <v>1612.641126853704</v>
      </c>
      <c r="F203" s="84">
        <f>IF(A203&lt;&gt;"",$I$6,"")</f>
        <v>1612.641126853704</v>
      </c>
      <c r="G203" s="6"/>
      <c r="H203" s="6"/>
      <c r="I203" s="6"/>
    </row>
    <row r="204" spans="1:9" x14ac:dyDescent="0.2">
      <c r="A204" s="7">
        <v>203</v>
      </c>
      <c r="B204" s="83">
        <f>IFERROR(IF(B203-D203&gt;=0.01,B203-D203,""),"")</f>
        <v>205549.23714173271</v>
      </c>
      <c r="C204" s="83">
        <f>IFERROR(B204*$I$4/12,"")</f>
        <v>577.250774306366</v>
      </c>
      <c r="D204" s="84">
        <f>IFERROR(F204-C204,"")</f>
        <v>1035.3903525473379</v>
      </c>
      <c r="E204" s="83">
        <f>IF(A204&lt;&gt;"",$I$6,"")</f>
        <v>1612.641126853704</v>
      </c>
      <c r="F204" s="84">
        <f>IF(A204&lt;&gt;"",$I$6,"")</f>
        <v>1612.641126853704</v>
      </c>
      <c r="G204" s="6"/>
      <c r="H204" s="6"/>
      <c r="I204" s="6"/>
    </row>
    <row r="205" spans="1:9" x14ac:dyDescent="0.2">
      <c r="A205" s="7">
        <v>204</v>
      </c>
      <c r="B205" s="83">
        <f>IFERROR(IF(B204-D204&gt;=0.01,B204-D204,""),"")</f>
        <v>204513.84678918537</v>
      </c>
      <c r="C205" s="83">
        <f>IFERROR(B205*$I$4/12,"")</f>
        <v>574.34305306629551</v>
      </c>
      <c r="D205" s="84">
        <f>IFERROR(F205-C205,"")</f>
        <v>1038.2980737874086</v>
      </c>
      <c r="E205" s="83">
        <f>IF(A205&lt;&gt;"",$I$6,"")</f>
        <v>1612.641126853704</v>
      </c>
      <c r="F205" s="84">
        <f>IF(A205&lt;&gt;"",$I$6,"")</f>
        <v>1612.641126853704</v>
      </c>
      <c r="G205" s="6"/>
      <c r="H205" s="6"/>
      <c r="I205" s="6"/>
    </row>
    <row r="206" spans="1:9" x14ac:dyDescent="0.2">
      <c r="A206" s="7">
        <v>205</v>
      </c>
      <c r="B206" s="83">
        <f>IFERROR(IF(B205-D205&gt;=0.01,B205-D205,""),"")</f>
        <v>203475.54871539795</v>
      </c>
      <c r="C206" s="83">
        <f>IFERROR(B206*$I$4/12,"")</f>
        <v>571.42716597574258</v>
      </c>
      <c r="D206" s="84">
        <f>IFERROR(F206-C206,"")</f>
        <v>1041.2139608779614</v>
      </c>
      <c r="E206" s="83">
        <f>IF(A206&lt;&gt;"",$I$6,"")</f>
        <v>1612.641126853704</v>
      </c>
      <c r="F206" s="84">
        <f>IF(A206&lt;&gt;"",$I$6,"")</f>
        <v>1612.641126853704</v>
      </c>
      <c r="G206" s="6"/>
      <c r="H206" s="6"/>
      <c r="I206" s="6"/>
    </row>
    <row r="207" spans="1:9" x14ac:dyDescent="0.2">
      <c r="A207" s="7">
        <v>206</v>
      </c>
      <c r="B207" s="83">
        <f>IFERROR(IF(B206-D206&gt;=0.01,B206-D206,""),"")</f>
        <v>202434.33475451998</v>
      </c>
      <c r="C207" s="83">
        <f>IFERROR(B207*$I$4/12,"")</f>
        <v>568.50309010227693</v>
      </c>
      <c r="D207" s="84">
        <f>IFERROR(F207-C207,"")</f>
        <v>1044.1380367514271</v>
      </c>
      <c r="E207" s="83">
        <f>IF(A207&lt;&gt;"",$I$6,"")</f>
        <v>1612.641126853704</v>
      </c>
      <c r="F207" s="84">
        <f>IF(A207&lt;&gt;"",$I$6,"")</f>
        <v>1612.641126853704</v>
      </c>
      <c r="G207" s="6"/>
      <c r="H207" s="6"/>
      <c r="I207" s="6"/>
    </row>
    <row r="208" spans="1:9" x14ac:dyDescent="0.2">
      <c r="A208" s="7">
        <v>207</v>
      </c>
      <c r="B208" s="83">
        <f>IFERROR(IF(B207-D207&gt;=0.01,B207-D207,""),"")</f>
        <v>201390.19671776856</v>
      </c>
      <c r="C208" s="83">
        <f>IFERROR(B208*$I$4/12,"")</f>
        <v>565.57080244906672</v>
      </c>
      <c r="D208" s="84">
        <f>IFERROR(F208-C208,"")</f>
        <v>1047.0703244046372</v>
      </c>
      <c r="E208" s="83">
        <f>IF(A208&lt;&gt;"",$I$6,"")</f>
        <v>1612.641126853704</v>
      </c>
      <c r="F208" s="84">
        <f>IF(A208&lt;&gt;"",$I$6,"")</f>
        <v>1612.641126853704</v>
      </c>
      <c r="G208" s="6"/>
      <c r="H208" s="6"/>
      <c r="I208" s="6"/>
    </row>
    <row r="209" spans="1:9" x14ac:dyDescent="0.2">
      <c r="A209" s="7">
        <v>208</v>
      </c>
      <c r="B209" s="83">
        <f>IFERROR(IF(B208-D208&gt;=0.01,B208-D208,""),"")</f>
        <v>200343.12639336393</v>
      </c>
      <c r="C209" s="83">
        <f>IFERROR(B209*$I$4/12,"")</f>
        <v>562.63027995469702</v>
      </c>
      <c r="D209" s="84">
        <f>IFERROR(F209-C209,"")</f>
        <v>1050.010846899007</v>
      </c>
      <c r="E209" s="83">
        <f>IF(A209&lt;&gt;"",$I$6,"")</f>
        <v>1612.641126853704</v>
      </c>
      <c r="F209" s="84">
        <f>IF(A209&lt;&gt;"",$I$6,"")</f>
        <v>1612.641126853704</v>
      </c>
      <c r="G209" s="6"/>
      <c r="H209" s="6"/>
      <c r="I209" s="6"/>
    </row>
    <row r="210" spans="1:9" x14ac:dyDescent="0.2">
      <c r="A210" s="7">
        <v>209</v>
      </c>
      <c r="B210" s="83">
        <f>IFERROR(IF(B209-D209&gt;=0.01,B209-D209,""),"")</f>
        <v>199293.11554646492</v>
      </c>
      <c r="C210" s="83">
        <f>IFERROR(B210*$I$4/12,"")</f>
        <v>559.68149949298902</v>
      </c>
      <c r="D210" s="84">
        <f>IFERROR(F210-C210,"")</f>
        <v>1052.9596273607149</v>
      </c>
      <c r="E210" s="83">
        <f>IF(A210&lt;&gt;"",$I$6,"")</f>
        <v>1612.641126853704</v>
      </c>
      <c r="F210" s="84">
        <f>IF(A210&lt;&gt;"",$I$6,"")</f>
        <v>1612.641126853704</v>
      </c>
      <c r="G210" s="6"/>
      <c r="H210" s="6"/>
      <c r="I210" s="6"/>
    </row>
    <row r="211" spans="1:9" x14ac:dyDescent="0.2">
      <c r="A211" s="7">
        <v>210</v>
      </c>
      <c r="B211" s="83">
        <f>IFERROR(IF(B210-D210&gt;=0.01,B210-D210,""),"")</f>
        <v>198240.1559191042</v>
      </c>
      <c r="C211" s="83">
        <f>IFERROR(B211*$I$4/12,"")</f>
        <v>556.7244378728177</v>
      </c>
      <c r="D211" s="84">
        <f>IFERROR(F211-C211,"")</f>
        <v>1055.9166889808862</v>
      </c>
      <c r="E211" s="83">
        <f>IF(A211&lt;&gt;"",$I$6,"")</f>
        <v>1612.641126853704</v>
      </c>
      <c r="F211" s="84">
        <f>IF(A211&lt;&gt;"",$I$6,"")</f>
        <v>1612.641126853704</v>
      </c>
      <c r="G211" s="6"/>
      <c r="H211" s="6"/>
      <c r="I211" s="6"/>
    </row>
    <row r="212" spans="1:9" x14ac:dyDescent="0.2">
      <c r="A212" s="7">
        <v>211</v>
      </c>
      <c r="B212" s="83">
        <f>IFERROR(IF(B211-D211&gt;=0.01,B211-D211,""),"")</f>
        <v>197184.23923012332</v>
      </c>
      <c r="C212" s="83">
        <f>IFERROR(B212*$I$4/12,"")</f>
        <v>553.7590718379297</v>
      </c>
      <c r="D212" s="84">
        <f>IFERROR(F212-C212,"")</f>
        <v>1058.8820550157743</v>
      </c>
      <c r="E212" s="83">
        <f>IF(A212&lt;&gt;"",$I$6,"")</f>
        <v>1612.641126853704</v>
      </c>
      <c r="F212" s="84">
        <f>IF(A212&lt;&gt;"",$I$6,"")</f>
        <v>1612.641126853704</v>
      </c>
      <c r="G212" s="6"/>
      <c r="H212" s="6"/>
      <c r="I212" s="6"/>
    </row>
    <row r="213" spans="1:9" x14ac:dyDescent="0.2">
      <c r="A213" s="7">
        <v>212</v>
      </c>
      <c r="B213" s="83">
        <f>IFERROR(IF(B212-D212&gt;=0.01,B212-D212,""),"")</f>
        <v>196125.35717510755</v>
      </c>
      <c r="C213" s="83">
        <f>IFERROR(B213*$I$4/12,"")</f>
        <v>550.78537806676036</v>
      </c>
      <c r="D213" s="84">
        <f>IFERROR(F213-C213,"")</f>
        <v>1061.8557487869436</v>
      </c>
      <c r="E213" s="83">
        <f>IF(A213&lt;&gt;"",$I$6,"")</f>
        <v>1612.641126853704</v>
      </c>
      <c r="F213" s="84">
        <f>IF(A213&lt;&gt;"",$I$6,"")</f>
        <v>1612.641126853704</v>
      </c>
      <c r="G213" s="6"/>
      <c r="H213" s="6"/>
      <c r="I213" s="6"/>
    </row>
    <row r="214" spans="1:9" x14ac:dyDescent="0.2">
      <c r="A214" s="7">
        <v>213</v>
      </c>
      <c r="B214" s="83">
        <f>IFERROR(IF(B213-D213&gt;=0.01,B213-D213,""),"")</f>
        <v>195063.50142632061</v>
      </c>
      <c r="C214" s="83">
        <f>IFERROR(B214*$I$4/12,"")</f>
        <v>547.8033331722504</v>
      </c>
      <c r="D214" s="84">
        <f>IFERROR(F214-C214,"")</f>
        <v>1064.8377936814536</v>
      </c>
      <c r="E214" s="83">
        <f>IF(A214&lt;&gt;"",$I$6,"")</f>
        <v>1612.641126853704</v>
      </c>
      <c r="F214" s="84">
        <f>IF(A214&lt;&gt;"",$I$6,"")</f>
        <v>1612.641126853704</v>
      </c>
      <c r="G214" s="6"/>
      <c r="H214" s="6"/>
      <c r="I214" s="6"/>
    </row>
    <row r="215" spans="1:9" x14ac:dyDescent="0.2">
      <c r="A215" s="7">
        <v>214</v>
      </c>
      <c r="B215" s="83">
        <f>IFERROR(IF(B214-D214&gt;=0.01,B214-D214,""),"")</f>
        <v>193998.66363263916</v>
      </c>
      <c r="C215" s="83">
        <f>IFERROR(B215*$I$4/12,"")</f>
        <v>544.81291370166161</v>
      </c>
      <c r="D215" s="84">
        <f>IFERROR(F215-C215,"")</f>
        <v>1067.8282131520423</v>
      </c>
      <c r="E215" s="83">
        <f>IF(A215&lt;&gt;"",$I$6,"")</f>
        <v>1612.641126853704</v>
      </c>
      <c r="F215" s="84">
        <f>IF(A215&lt;&gt;"",$I$6,"")</f>
        <v>1612.641126853704</v>
      </c>
      <c r="G215" s="6"/>
      <c r="H215" s="6"/>
      <c r="I215" s="6"/>
    </row>
    <row r="216" spans="1:9" x14ac:dyDescent="0.2">
      <c r="A216" s="7">
        <v>215</v>
      </c>
      <c r="B216" s="83">
        <f>IFERROR(IF(B215-D215&gt;=0.01,B215-D215,""),"")</f>
        <v>192930.83541948712</v>
      </c>
      <c r="C216" s="83">
        <f>IFERROR(B216*$I$4/12,"")</f>
        <v>541.814096136393</v>
      </c>
      <c r="D216" s="84">
        <f>IFERROR(F216-C216,"")</f>
        <v>1070.8270307173111</v>
      </c>
      <c r="E216" s="83">
        <f>IF(A216&lt;&gt;"",$I$6,"")</f>
        <v>1612.641126853704</v>
      </c>
      <c r="F216" s="84">
        <f>IF(A216&lt;&gt;"",$I$6,"")</f>
        <v>1612.641126853704</v>
      </c>
      <c r="G216" s="6"/>
      <c r="H216" s="6"/>
      <c r="I216" s="6"/>
    </row>
    <row r="217" spans="1:9" x14ac:dyDescent="0.2">
      <c r="A217" s="7">
        <v>216</v>
      </c>
      <c r="B217" s="83">
        <f>IFERROR(IF(B216-D216&gt;=0.01,B216-D216,""),"")</f>
        <v>191860.00838876981</v>
      </c>
      <c r="C217" s="83">
        <f>IFERROR(B217*$I$4/12,"")</f>
        <v>538.80685689179529</v>
      </c>
      <c r="D217" s="84">
        <f>IFERROR(F217-C217,"")</f>
        <v>1073.8342699619088</v>
      </c>
      <c r="E217" s="83">
        <f>IF(A217&lt;&gt;"",$I$6,"")</f>
        <v>1612.641126853704</v>
      </c>
      <c r="F217" s="84">
        <f>IF(A217&lt;&gt;"",$I$6,"")</f>
        <v>1612.641126853704</v>
      </c>
      <c r="G217" s="6"/>
      <c r="H217" s="6"/>
      <c r="I217" s="6"/>
    </row>
    <row r="218" spans="1:9" x14ac:dyDescent="0.2">
      <c r="A218" s="7">
        <v>217</v>
      </c>
      <c r="B218" s="83">
        <f>IFERROR(IF(B217-D217&gt;=0.01,B217-D217,""),"")</f>
        <v>190786.17411880792</v>
      </c>
      <c r="C218" s="83">
        <f>IFERROR(B218*$I$4/12,"")</f>
        <v>535.79117231698558</v>
      </c>
      <c r="D218" s="84">
        <f>IFERROR(F218-C218,"")</f>
        <v>1076.8499545367185</v>
      </c>
      <c r="E218" s="83">
        <f>IF(A218&lt;&gt;"",$I$6,"")</f>
        <v>1612.641126853704</v>
      </c>
      <c r="F218" s="84">
        <f>IF(A218&lt;&gt;"",$I$6,"")</f>
        <v>1612.641126853704</v>
      </c>
      <c r="G218" s="6"/>
      <c r="H218" s="6"/>
      <c r="I218" s="6"/>
    </row>
    <row r="219" spans="1:9" x14ac:dyDescent="0.2">
      <c r="A219" s="7">
        <v>218</v>
      </c>
      <c r="B219" s="83">
        <f>IFERROR(IF(B218-D218&gt;=0.01,B218-D218,""),"")</f>
        <v>189709.32416427121</v>
      </c>
      <c r="C219" s="83">
        <f>IFERROR(B219*$I$4/12,"")</f>
        <v>532.76701869466172</v>
      </c>
      <c r="D219" s="84">
        <f>IFERROR(F219-C219,"")</f>
        <v>1079.8741081590424</v>
      </c>
      <c r="E219" s="83">
        <f>IF(A219&lt;&gt;"",$I$6,"")</f>
        <v>1612.641126853704</v>
      </c>
      <c r="F219" s="84">
        <f>IF(A219&lt;&gt;"",$I$6,"")</f>
        <v>1612.641126853704</v>
      </c>
      <c r="G219" s="6"/>
      <c r="H219" s="6"/>
      <c r="I219" s="6"/>
    </row>
    <row r="220" spans="1:9" x14ac:dyDescent="0.2">
      <c r="A220" s="7">
        <v>219</v>
      </c>
      <c r="B220" s="83">
        <f>IFERROR(IF(B219-D219&gt;=0.01,B219-D219,""),"")</f>
        <v>188629.45005611217</v>
      </c>
      <c r="C220" s="83">
        <f>IFERROR(B220*$I$4/12,"")</f>
        <v>529.73437224091504</v>
      </c>
      <c r="D220" s="84">
        <f>IFERROR(F220-C220,"")</f>
        <v>1082.906754612789</v>
      </c>
      <c r="E220" s="83">
        <f>IF(A220&lt;&gt;"",$I$6,"")</f>
        <v>1612.641126853704</v>
      </c>
      <c r="F220" s="84">
        <f>IF(A220&lt;&gt;"",$I$6,"")</f>
        <v>1612.641126853704</v>
      </c>
      <c r="G220" s="6"/>
      <c r="H220" s="6"/>
      <c r="I220" s="6"/>
    </row>
    <row r="221" spans="1:9" x14ac:dyDescent="0.2">
      <c r="A221" s="7">
        <v>220</v>
      </c>
      <c r="B221" s="83">
        <f>IFERROR(IF(B220-D220&gt;=0.01,B220-D220,""),"")</f>
        <v>187546.54330149939</v>
      </c>
      <c r="C221" s="83">
        <f>IFERROR(B221*$I$4/12,"")</f>
        <v>526.69320910504416</v>
      </c>
      <c r="D221" s="84">
        <f>IFERROR(F221-C221,"")</f>
        <v>1085.9479177486598</v>
      </c>
      <c r="E221" s="83">
        <f>IF(A221&lt;&gt;"",$I$6,"")</f>
        <v>1612.641126853704</v>
      </c>
      <c r="F221" s="84">
        <f>IF(A221&lt;&gt;"",$I$6,"")</f>
        <v>1612.641126853704</v>
      </c>
      <c r="G221" s="6"/>
      <c r="H221" s="6"/>
      <c r="I221" s="6"/>
    </row>
    <row r="222" spans="1:9" x14ac:dyDescent="0.2">
      <c r="A222" s="7">
        <v>221</v>
      </c>
      <c r="B222" s="83">
        <f>IFERROR(IF(B221-D221&gt;=0.01,B221-D221,""),"")</f>
        <v>186460.59538375074</v>
      </c>
      <c r="C222" s="83">
        <f>IFERROR(B222*$I$4/12,"")</f>
        <v>523.64350536936661</v>
      </c>
      <c r="D222" s="84">
        <f>IFERROR(F222-C222,"")</f>
        <v>1088.9976214843373</v>
      </c>
      <c r="E222" s="83">
        <f>IF(A222&lt;&gt;"",$I$6,"")</f>
        <v>1612.641126853704</v>
      </c>
      <c r="F222" s="84">
        <f>IF(A222&lt;&gt;"",$I$6,"")</f>
        <v>1612.641126853704</v>
      </c>
      <c r="G222" s="6"/>
      <c r="H222" s="6"/>
      <c r="I222" s="6"/>
    </row>
    <row r="223" spans="1:9" x14ac:dyDescent="0.2">
      <c r="A223" s="7">
        <v>222</v>
      </c>
      <c r="B223" s="83">
        <f>IFERROR(IF(B222-D222&gt;=0.01,B222-D222,""),"")</f>
        <v>185371.59776226641</v>
      </c>
      <c r="C223" s="83">
        <f>IFERROR(B223*$I$4/12,"")</f>
        <v>520.58523704903143</v>
      </c>
      <c r="D223" s="84">
        <f>IFERROR(F223-C223,"")</f>
        <v>1092.0558898046725</v>
      </c>
      <c r="E223" s="83">
        <f>IF(A223&lt;&gt;"",$I$6,"")</f>
        <v>1612.641126853704</v>
      </c>
      <c r="F223" s="84">
        <f>IF(A223&lt;&gt;"",$I$6,"")</f>
        <v>1612.641126853704</v>
      </c>
      <c r="G223" s="6"/>
      <c r="H223" s="6"/>
      <c r="I223" s="6"/>
    </row>
    <row r="224" spans="1:9" x14ac:dyDescent="0.2">
      <c r="A224" s="7">
        <v>223</v>
      </c>
      <c r="B224" s="83">
        <f>IFERROR(IF(B223-D223&gt;=0.01,B223-D223,""),"")</f>
        <v>184279.54187246173</v>
      </c>
      <c r="C224" s="83">
        <f>IFERROR(B224*$I$4/12,"")</f>
        <v>517.51838009183007</v>
      </c>
      <c r="D224" s="84">
        <f>IFERROR(F224-C224,"")</f>
        <v>1095.1227467618739</v>
      </c>
      <c r="E224" s="83">
        <f>IF(A224&lt;&gt;"",$I$6,"")</f>
        <v>1612.641126853704</v>
      </c>
      <c r="F224" s="84">
        <f>IF(A224&lt;&gt;"",$I$6,"")</f>
        <v>1612.641126853704</v>
      </c>
      <c r="G224" s="6"/>
      <c r="H224" s="6"/>
      <c r="I224" s="6"/>
    </row>
    <row r="225" spans="1:9" x14ac:dyDescent="0.2">
      <c r="A225" s="7">
        <v>224</v>
      </c>
      <c r="B225" s="83">
        <f>IFERROR(IF(B224-D224&gt;=0.01,B224-D224,""),"")</f>
        <v>183184.41912569985</v>
      </c>
      <c r="C225" s="83">
        <f>IFERROR(B225*$I$4/12,"")</f>
        <v>514.44291037800701</v>
      </c>
      <c r="D225" s="84">
        <f>IFERROR(F225-C225,"")</f>
        <v>1098.1982164756969</v>
      </c>
      <c r="E225" s="83">
        <f>IF(A225&lt;&gt;"",$I$6,"")</f>
        <v>1612.641126853704</v>
      </c>
      <c r="F225" s="84">
        <f>IF(A225&lt;&gt;"",$I$6,"")</f>
        <v>1612.641126853704</v>
      </c>
      <c r="G225" s="6"/>
      <c r="H225" s="6"/>
      <c r="I225" s="6"/>
    </row>
    <row r="226" spans="1:9" x14ac:dyDescent="0.2">
      <c r="A226" s="7">
        <v>225</v>
      </c>
      <c r="B226" s="83">
        <f>IFERROR(IF(B225-D225&gt;=0.01,B225-D225,""),"")</f>
        <v>182086.22090922415</v>
      </c>
      <c r="C226" s="83">
        <f>IFERROR(B226*$I$4/12,"")</f>
        <v>511.35880372007119</v>
      </c>
      <c r="D226" s="84">
        <f>IFERROR(F226-C226,"")</f>
        <v>1101.2823231336329</v>
      </c>
      <c r="E226" s="83">
        <f>IF(A226&lt;&gt;"",$I$6,"")</f>
        <v>1612.641126853704</v>
      </c>
      <c r="F226" s="84">
        <f>IF(A226&lt;&gt;"",$I$6,"")</f>
        <v>1612.641126853704</v>
      </c>
      <c r="G226" s="6"/>
      <c r="H226" s="6"/>
      <c r="I226" s="6"/>
    </row>
    <row r="227" spans="1:9" x14ac:dyDescent="0.2">
      <c r="A227" s="7">
        <v>226</v>
      </c>
      <c r="B227" s="83">
        <f>IFERROR(IF(B226-D226&gt;=0.01,B226-D226,""),"")</f>
        <v>180984.93858609052</v>
      </c>
      <c r="C227" s="83">
        <f>IFERROR(B227*$I$4/12,"")</f>
        <v>508.26603586260421</v>
      </c>
      <c r="D227" s="84">
        <f>IFERROR(F227-C227,"")</f>
        <v>1104.3750909910998</v>
      </c>
      <c r="E227" s="83">
        <f>IF(A227&lt;&gt;"",$I$6,"")</f>
        <v>1612.641126853704</v>
      </c>
      <c r="F227" s="84">
        <f>IF(A227&lt;&gt;"",$I$6,"")</f>
        <v>1612.641126853704</v>
      </c>
      <c r="G227" s="6"/>
      <c r="H227" s="6"/>
      <c r="I227" s="6"/>
    </row>
    <row r="228" spans="1:9" x14ac:dyDescent="0.2">
      <c r="A228" s="7">
        <v>227</v>
      </c>
      <c r="B228" s="83">
        <f>IFERROR(IF(B227-D227&gt;=0.01,B227-D227,""),"")</f>
        <v>179880.56349509943</v>
      </c>
      <c r="C228" s="83">
        <f>IFERROR(B228*$I$4/12,"")</f>
        <v>505.1645824820709</v>
      </c>
      <c r="D228" s="84">
        <f>IFERROR(F228-C228,"")</f>
        <v>1107.4765443716331</v>
      </c>
      <c r="E228" s="83">
        <f>IF(A228&lt;&gt;"",$I$6,"")</f>
        <v>1612.641126853704</v>
      </c>
      <c r="F228" s="84">
        <f>IF(A228&lt;&gt;"",$I$6,"")</f>
        <v>1612.641126853704</v>
      </c>
      <c r="G228" s="6"/>
      <c r="H228" s="6"/>
      <c r="I228" s="6"/>
    </row>
    <row r="229" spans="1:9" x14ac:dyDescent="0.2">
      <c r="A229" s="7">
        <v>228</v>
      </c>
      <c r="B229" s="83">
        <f>IFERROR(IF(B228-D228&gt;=0.01,B228-D228,""),"")</f>
        <v>178773.0869507278</v>
      </c>
      <c r="C229" s="83">
        <f>IFERROR(B229*$I$4/12,"")</f>
        <v>502.05441918662723</v>
      </c>
      <c r="D229" s="84">
        <f>IFERROR(F229-C229,"")</f>
        <v>1110.5867076670768</v>
      </c>
      <c r="E229" s="83">
        <f>IF(A229&lt;&gt;"",$I$6,"")</f>
        <v>1612.641126853704</v>
      </c>
      <c r="F229" s="84">
        <f>IF(A229&lt;&gt;"",$I$6,"")</f>
        <v>1612.641126853704</v>
      </c>
      <c r="G229" s="6"/>
      <c r="H229" s="6"/>
      <c r="I229" s="6"/>
    </row>
    <row r="230" spans="1:9" x14ac:dyDescent="0.2">
      <c r="A230" s="7">
        <v>229</v>
      </c>
      <c r="B230" s="83">
        <f>IFERROR(IF(B229-D229&gt;=0.01,B229-D229,""),"")</f>
        <v>177662.50024306073</v>
      </c>
      <c r="C230" s="83">
        <f>IFERROR(B230*$I$4/12,"")</f>
        <v>498.93552151592888</v>
      </c>
      <c r="D230" s="84">
        <f>IFERROR(F230-C230,"")</f>
        <v>1113.7056053377751</v>
      </c>
      <c r="E230" s="83">
        <f>IF(A230&lt;&gt;"",$I$6,"")</f>
        <v>1612.641126853704</v>
      </c>
      <c r="F230" s="84">
        <f>IF(A230&lt;&gt;"",$I$6,"")</f>
        <v>1612.641126853704</v>
      </c>
      <c r="G230" s="6"/>
      <c r="H230" s="6"/>
      <c r="I230" s="6"/>
    </row>
    <row r="231" spans="1:9" x14ac:dyDescent="0.2">
      <c r="A231" s="7">
        <v>230</v>
      </c>
      <c r="B231" s="83">
        <f>IFERROR(IF(B230-D230&gt;=0.01,B230-D230,""),"")</f>
        <v>176548.79463772295</v>
      </c>
      <c r="C231" s="83">
        <f>IFERROR(B231*$I$4/12,"")</f>
        <v>495.8078649409386</v>
      </c>
      <c r="D231" s="84">
        <f>IFERROR(F231-C231,"")</f>
        <v>1116.8332619127655</v>
      </c>
      <c r="E231" s="83">
        <f>IF(A231&lt;&gt;"",$I$6,"")</f>
        <v>1612.641126853704</v>
      </c>
      <c r="F231" s="84">
        <f>IF(A231&lt;&gt;"",$I$6,"")</f>
        <v>1612.641126853704</v>
      </c>
      <c r="G231" s="6"/>
      <c r="H231" s="6"/>
      <c r="I231" s="6"/>
    </row>
    <row r="232" spans="1:9" x14ac:dyDescent="0.2">
      <c r="A232" s="7">
        <v>231</v>
      </c>
      <c r="B232" s="83">
        <f>IFERROR(IF(B231-D231&gt;=0.01,B231-D231,""),"")</f>
        <v>175431.96137581018</v>
      </c>
      <c r="C232" s="83">
        <f>IFERROR(B232*$I$4/12,"")</f>
        <v>492.67142486373359</v>
      </c>
      <c r="D232" s="84">
        <f>IFERROR(F232-C232,"")</f>
        <v>1119.9697019899704</v>
      </c>
      <c r="E232" s="83">
        <f>IF(A232&lt;&gt;"",$I$6,"")</f>
        <v>1612.641126853704</v>
      </c>
      <c r="F232" s="84">
        <f>IF(A232&lt;&gt;"",$I$6,"")</f>
        <v>1612.641126853704</v>
      </c>
      <c r="G232" s="6"/>
      <c r="H232" s="6"/>
      <c r="I232" s="6"/>
    </row>
    <row r="233" spans="1:9" x14ac:dyDescent="0.2">
      <c r="A233" s="7">
        <v>232</v>
      </c>
      <c r="B233" s="83">
        <f>IFERROR(IF(B232-D232&gt;=0.01,B232-D232,""),"")</f>
        <v>174311.99167382022</v>
      </c>
      <c r="C233" s="83">
        <f>IFERROR(B233*$I$4/12,"")</f>
        <v>489.52617661731182</v>
      </c>
      <c r="D233" s="84">
        <f>IFERROR(F233-C233,"")</f>
        <v>1123.1149502363921</v>
      </c>
      <c r="E233" s="83">
        <f>IF(A233&lt;&gt;"",$I$6,"")</f>
        <v>1612.641126853704</v>
      </c>
      <c r="F233" s="84">
        <f>IF(A233&lt;&gt;"",$I$6,"")</f>
        <v>1612.641126853704</v>
      </c>
      <c r="G233" s="6"/>
      <c r="H233" s="6"/>
      <c r="I233" s="6"/>
    </row>
    <row r="234" spans="1:9" x14ac:dyDescent="0.2">
      <c r="A234" s="7">
        <v>233</v>
      </c>
      <c r="B234" s="83">
        <f>IFERROR(IF(B233-D233&gt;=0.01,B233-D233,""),"")</f>
        <v>173188.87672358382</v>
      </c>
      <c r="C234" s="83">
        <f>IFERROR(B234*$I$4/12,"")</f>
        <v>486.37209546539793</v>
      </c>
      <c r="D234" s="84">
        <f>IFERROR(F234-C234,"")</f>
        <v>1126.2690313883061</v>
      </c>
      <c r="E234" s="83">
        <f>IF(A234&lt;&gt;"",$I$6,"")</f>
        <v>1612.641126853704</v>
      </c>
      <c r="F234" s="84">
        <f>IF(A234&lt;&gt;"",$I$6,"")</f>
        <v>1612.641126853704</v>
      </c>
      <c r="G234" s="6"/>
      <c r="H234" s="6"/>
      <c r="I234" s="6"/>
    </row>
    <row r="235" spans="1:9" x14ac:dyDescent="0.2">
      <c r="A235" s="7">
        <v>234</v>
      </c>
      <c r="B235" s="83">
        <f>IFERROR(IF(B234-D234&gt;=0.01,B234-D234,""),"")</f>
        <v>172062.60769219551</v>
      </c>
      <c r="C235" s="83">
        <f>IFERROR(B235*$I$4/12,"")</f>
        <v>483.2091566022491</v>
      </c>
      <c r="D235" s="84">
        <f>IFERROR(F235-C235,"")</f>
        <v>1129.4319702514549</v>
      </c>
      <c r="E235" s="83">
        <f>IF(A235&lt;&gt;"",$I$6,"")</f>
        <v>1612.641126853704</v>
      </c>
      <c r="F235" s="84">
        <f>IF(A235&lt;&gt;"",$I$6,"")</f>
        <v>1612.641126853704</v>
      </c>
      <c r="G235" s="6"/>
      <c r="H235" s="6"/>
      <c r="I235" s="6"/>
    </row>
    <row r="236" spans="1:9" x14ac:dyDescent="0.2">
      <c r="A236" s="7">
        <v>235</v>
      </c>
      <c r="B236" s="83">
        <f>IFERROR(IF(B235-D235&gt;=0.01,B235-D235,""),"")</f>
        <v>170933.17572194405</v>
      </c>
      <c r="C236" s="83">
        <f>IFERROR(B236*$I$4/12,"")</f>
        <v>480.03733515245955</v>
      </c>
      <c r="D236" s="84">
        <f>IFERROR(F236-C236,"")</f>
        <v>1132.6037917012445</v>
      </c>
      <c r="E236" s="83">
        <f>IF(A236&lt;&gt;"",$I$6,"")</f>
        <v>1612.641126853704</v>
      </c>
      <c r="F236" s="84">
        <f>IF(A236&lt;&gt;"",$I$6,"")</f>
        <v>1612.641126853704</v>
      </c>
      <c r="G236" s="6"/>
      <c r="H236" s="6"/>
      <c r="I236" s="6"/>
    </row>
    <row r="237" spans="1:9" x14ac:dyDescent="0.2">
      <c r="A237" s="7">
        <v>236</v>
      </c>
      <c r="B237" s="83">
        <f>IFERROR(IF(B236-D236&gt;=0.01,B236-D236,""),"")</f>
        <v>169800.57193024279</v>
      </c>
      <c r="C237" s="83">
        <f>IFERROR(B237*$I$4/12,"")</f>
        <v>476.85660617076519</v>
      </c>
      <c r="D237" s="84">
        <f>IFERROR(F237-C237,"")</f>
        <v>1135.7845206829388</v>
      </c>
      <c r="E237" s="83">
        <f>IF(A237&lt;&gt;"",$I$6,"")</f>
        <v>1612.641126853704</v>
      </c>
      <c r="F237" s="84">
        <f>IF(A237&lt;&gt;"",$I$6,"")</f>
        <v>1612.641126853704</v>
      </c>
      <c r="G237" s="6"/>
      <c r="H237" s="6"/>
      <c r="I237" s="6"/>
    </row>
    <row r="238" spans="1:9" x14ac:dyDescent="0.2">
      <c r="A238" s="7">
        <v>237</v>
      </c>
      <c r="B238" s="83">
        <f>IFERROR(IF(B237-D237&gt;=0.01,B237-D237,""),"")</f>
        <v>168664.78740955985</v>
      </c>
      <c r="C238" s="83">
        <f>IFERROR(B238*$I$4/12,"")</f>
        <v>473.66694464184729</v>
      </c>
      <c r="D238" s="84">
        <f>IFERROR(F238-C238,"")</f>
        <v>1138.9741822118567</v>
      </c>
      <c r="E238" s="83">
        <f>IF(A238&lt;&gt;"",$I$6,"")</f>
        <v>1612.641126853704</v>
      </c>
      <c r="F238" s="84">
        <f>IF(A238&lt;&gt;"",$I$6,"")</f>
        <v>1612.641126853704</v>
      </c>
      <c r="G238" s="6"/>
      <c r="H238" s="6"/>
      <c r="I238" s="6"/>
    </row>
    <row r="239" spans="1:9" x14ac:dyDescent="0.2">
      <c r="A239" s="7">
        <v>238</v>
      </c>
      <c r="B239" s="83">
        <f>IFERROR(IF(B238-D238&gt;=0.01,B238-D238,""),"")</f>
        <v>167525.813227348</v>
      </c>
      <c r="C239" s="83">
        <f>IFERROR(B239*$I$4/12,"")</f>
        <v>470.46832548013566</v>
      </c>
      <c r="D239" s="84">
        <f>IFERROR(F239-C239,"")</f>
        <v>1142.1728013735683</v>
      </c>
      <c r="E239" s="83">
        <f>IF(A239&lt;&gt;"",$I$6,"")</f>
        <v>1612.641126853704</v>
      </c>
      <c r="F239" s="84">
        <f>IF(A239&lt;&gt;"",$I$6,"")</f>
        <v>1612.641126853704</v>
      </c>
      <c r="G239" s="6"/>
      <c r="H239" s="6"/>
      <c r="I239" s="6"/>
    </row>
    <row r="240" spans="1:9" x14ac:dyDescent="0.2">
      <c r="A240" s="7">
        <v>239</v>
      </c>
      <c r="B240" s="83">
        <f>IFERROR(IF(B239-D239&gt;=0.01,B239-D239,""),"")</f>
        <v>166383.64042597444</v>
      </c>
      <c r="C240" s="83">
        <f>IFERROR(B240*$I$4/12,"")</f>
        <v>467.2607235296116</v>
      </c>
      <c r="D240" s="84">
        <f>IFERROR(F240-C240,"")</f>
        <v>1145.3804033240924</v>
      </c>
      <c r="E240" s="83">
        <f>IF(A240&lt;&gt;"",$I$6,"")</f>
        <v>1612.641126853704</v>
      </c>
      <c r="F240" s="84">
        <f>IF(A240&lt;&gt;"",$I$6,"")</f>
        <v>1612.641126853704</v>
      </c>
      <c r="G240" s="6"/>
      <c r="H240" s="6"/>
      <c r="I240" s="6"/>
    </row>
    <row r="241" spans="1:9" x14ac:dyDescent="0.2">
      <c r="A241" s="7">
        <v>240</v>
      </c>
      <c r="B241" s="83">
        <f>IFERROR(IF(B240-D240&gt;=0.01,B240-D240,""),"")</f>
        <v>165238.26002265036</v>
      </c>
      <c r="C241" s="83">
        <f>IFERROR(B241*$I$4/12,"")</f>
        <v>464.04411356360976</v>
      </c>
      <c r="D241" s="84">
        <f>IFERROR(F241-C241,"")</f>
        <v>1148.5970132900943</v>
      </c>
      <c r="E241" s="83">
        <f>IF(A241&lt;&gt;"",$I$6,"")</f>
        <v>1612.641126853704</v>
      </c>
      <c r="F241" s="84">
        <f>IF(A241&lt;&gt;"",$I$6,"")</f>
        <v>1612.641126853704</v>
      </c>
      <c r="G241" s="6"/>
      <c r="H241" s="6"/>
      <c r="I241" s="6"/>
    </row>
    <row r="242" spans="1:9" x14ac:dyDescent="0.2">
      <c r="A242" s="7">
        <v>241</v>
      </c>
      <c r="B242" s="83">
        <f>IFERROR(IF(B241-D241&gt;=0.01,B241-D241,""),"")</f>
        <v>164089.66300936026</v>
      </c>
      <c r="C242" s="83">
        <f>IFERROR(B242*$I$4/12,"")</f>
        <v>460.8184702846201</v>
      </c>
      <c r="D242" s="84">
        <f>IFERROR(F242-C242,"")</f>
        <v>1151.8226565690838</v>
      </c>
      <c r="E242" s="83">
        <f>IF(A242&lt;&gt;"",$I$6,"")</f>
        <v>1612.641126853704</v>
      </c>
      <c r="F242" s="84">
        <f>IF(A242&lt;&gt;"",$I$6,"")</f>
        <v>1612.641126853704</v>
      </c>
      <c r="G242" s="6"/>
      <c r="H242" s="6"/>
      <c r="I242" s="6"/>
    </row>
    <row r="243" spans="1:9" x14ac:dyDescent="0.2">
      <c r="A243" s="7">
        <v>242</v>
      </c>
      <c r="B243" s="83">
        <f>IFERROR(IF(B242-D242&gt;=0.01,B242-D242,""),"")</f>
        <v>162937.84035279119</v>
      </c>
      <c r="C243" s="83">
        <f>IFERROR(B243*$I$4/12,"")</f>
        <v>457.58376832408862</v>
      </c>
      <c r="D243" s="84">
        <f>IFERROR(F243-C243,"")</f>
        <v>1155.0573585296154</v>
      </c>
      <c r="E243" s="83">
        <f>IF(A243&lt;&gt;"",$I$6,"")</f>
        <v>1612.641126853704</v>
      </c>
      <c r="F243" s="84">
        <f>IF(A243&lt;&gt;"",$I$6,"")</f>
        <v>1612.641126853704</v>
      </c>
      <c r="G243" s="6"/>
      <c r="H243" s="6"/>
      <c r="I243" s="6"/>
    </row>
    <row r="244" spans="1:9" x14ac:dyDescent="0.2">
      <c r="A244" s="7">
        <v>243</v>
      </c>
      <c r="B244" s="83">
        <f>IFERROR(IF(B243-D243&gt;=0.01,B243-D243,""),"")</f>
        <v>161782.78299426156</v>
      </c>
      <c r="C244" s="83">
        <f>IFERROR(B244*$I$4/12,"")</f>
        <v>454.3399822422179</v>
      </c>
      <c r="D244" s="84">
        <f>IFERROR(F244-C244,"")</f>
        <v>1158.3011446114861</v>
      </c>
      <c r="E244" s="83">
        <f>IF(A244&lt;&gt;"",$I$6,"")</f>
        <v>1612.641126853704</v>
      </c>
      <c r="F244" s="84">
        <f>IF(A244&lt;&gt;"",$I$6,"")</f>
        <v>1612.641126853704</v>
      </c>
      <c r="G244" s="6"/>
      <c r="H244" s="6"/>
      <c r="I244" s="6"/>
    </row>
    <row r="245" spans="1:9" x14ac:dyDescent="0.2">
      <c r="A245" s="7">
        <v>244</v>
      </c>
      <c r="B245" s="83">
        <f>IFERROR(IF(B244-D244&gt;=0.01,B244-D244,""),"")</f>
        <v>160624.48184965007</v>
      </c>
      <c r="C245" s="83">
        <f>IFERROR(B245*$I$4/12,"")</f>
        <v>451.08708652776727</v>
      </c>
      <c r="D245" s="84">
        <f>IFERROR(F245-C245,"")</f>
        <v>1161.5540403259367</v>
      </c>
      <c r="E245" s="83">
        <f>IF(A245&lt;&gt;"",$I$6,"")</f>
        <v>1612.641126853704</v>
      </c>
      <c r="F245" s="84">
        <f>IF(A245&lt;&gt;"",$I$6,"")</f>
        <v>1612.641126853704</v>
      </c>
      <c r="G245" s="6"/>
      <c r="H245" s="6"/>
      <c r="I245" s="6"/>
    </row>
    <row r="246" spans="1:9" x14ac:dyDescent="0.2">
      <c r="A246" s="7">
        <v>245</v>
      </c>
      <c r="B246" s="83">
        <f>IFERROR(IF(B245-D245&gt;=0.01,B245-D245,""),"")</f>
        <v>159462.92780932412</v>
      </c>
      <c r="C246" s="83">
        <f>IFERROR(B246*$I$4/12,"")</f>
        <v>447.82505559785187</v>
      </c>
      <c r="D246" s="84">
        <f>IFERROR(F246-C246,"")</f>
        <v>1164.8160712558522</v>
      </c>
      <c r="E246" s="83">
        <f>IF(A246&lt;&gt;"",$I$6,"")</f>
        <v>1612.641126853704</v>
      </c>
      <c r="F246" s="84">
        <f>IF(A246&lt;&gt;"",$I$6,"")</f>
        <v>1612.641126853704</v>
      </c>
      <c r="G246" s="6"/>
      <c r="H246" s="6"/>
      <c r="I246" s="6"/>
    </row>
    <row r="247" spans="1:9" x14ac:dyDescent="0.2">
      <c r="A247" s="7">
        <v>246</v>
      </c>
      <c r="B247" s="83">
        <f>IFERROR(IF(B246-D246&gt;=0.01,B246-D246,""),"")</f>
        <v>158298.11173806826</v>
      </c>
      <c r="C247" s="83">
        <f>IFERROR(B247*$I$4/12,"")</f>
        <v>444.55386379774171</v>
      </c>
      <c r="D247" s="84">
        <f>IFERROR(F247-C247,"")</f>
        <v>1168.0872630559622</v>
      </c>
      <c r="E247" s="83">
        <f>IF(A247&lt;&gt;"",$I$6,"")</f>
        <v>1612.641126853704</v>
      </c>
      <c r="F247" s="84">
        <f>IF(A247&lt;&gt;"",$I$6,"")</f>
        <v>1612.641126853704</v>
      </c>
      <c r="G247" s="6"/>
      <c r="H247" s="6"/>
      <c r="I247" s="6"/>
    </row>
    <row r="248" spans="1:9" x14ac:dyDescent="0.2">
      <c r="A248" s="7">
        <v>247</v>
      </c>
      <c r="B248" s="83">
        <f>IFERROR(IF(B247-D247&gt;=0.01,B247-D247,""),"")</f>
        <v>157130.02447501229</v>
      </c>
      <c r="C248" s="83">
        <f>IFERROR(B248*$I$4/12,"")</f>
        <v>441.27348540065958</v>
      </c>
      <c r="D248" s="84">
        <f>IFERROR(F248-C248,"")</f>
        <v>1171.3676414530444</v>
      </c>
      <c r="E248" s="83">
        <f>IF(A248&lt;&gt;"",$I$6,"")</f>
        <v>1612.641126853704</v>
      </c>
      <c r="F248" s="84">
        <f>IF(A248&lt;&gt;"",$I$6,"")</f>
        <v>1612.641126853704</v>
      </c>
      <c r="G248" s="6"/>
      <c r="H248" s="6"/>
      <c r="I248" s="6"/>
    </row>
    <row r="249" spans="1:9" x14ac:dyDescent="0.2">
      <c r="A249" s="7">
        <v>248</v>
      </c>
      <c r="B249" s="83">
        <f>IFERROR(IF(B248-D248&gt;=0.01,B248-D248,""),"")</f>
        <v>155958.65683355925</v>
      </c>
      <c r="C249" s="83">
        <f>IFERROR(B249*$I$4/12,"")</f>
        <v>437.98389460757886</v>
      </c>
      <c r="D249" s="84">
        <f>IFERROR(F249-C249,"")</f>
        <v>1174.6572322461252</v>
      </c>
      <c r="E249" s="83">
        <f>IF(A249&lt;&gt;"",$I$6,"")</f>
        <v>1612.641126853704</v>
      </c>
      <c r="F249" s="84">
        <f>IF(A249&lt;&gt;"",$I$6,"")</f>
        <v>1612.641126853704</v>
      </c>
      <c r="G249" s="6"/>
      <c r="H249" s="6"/>
      <c r="I249" s="6"/>
    </row>
    <row r="250" spans="1:9" x14ac:dyDescent="0.2">
      <c r="A250" s="7">
        <v>249</v>
      </c>
      <c r="B250" s="83">
        <f>IFERROR(IF(B249-D249&gt;=0.01,B249-D249,""),"")</f>
        <v>154783.99960131312</v>
      </c>
      <c r="C250" s="83">
        <f>IFERROR(B250*$I$4/12,"")</f>
        <v>434.685065547021</v>
      </c>
      <c r="D250" s="84">
        <f>IFERROR(F250-C250,"")</f>
        <v>1177.9560613066831</v>
      </c>
      <c r="E250" s="83">
        <f>IF(A250&lt;&gt;"",$I$6,"")</f>
        <v>1612.641126853704</v>
      </c>
      <c r="F250" s="84">
        <f>IF(A250&lt;&gt;"",$I$6,"")</f>
        <v>1612.641126853704</v>
      </c>
      <c r="G250" s="6"/>
      <c r="H250" s="6"/>
      <c r="I250" s="6"/>
    </row>
    <row r="251" spans="1:9" x14ac:dyDescent="0.2">
      <c r="A251" s="7">
        <v>250</v>
      </c>
      <c r="B251" s="83">
        <f>IFERROR(IF(B250-D250&gt;=0.01,B250-D250,""),"")</f>
        <v>153606.04354000645</v>
      </c>
      <c r="C251" s="83">
        <f>IFERROR(B251*$I$4/12,"")</f>
        <v>431.37697227485143</v>
      </c>
      <c r="D251" s="84">
        <f>IFERROR(F251-C251,"")</f>
        <v>1181.2641545788526</v>
      </c>
      <c r="E251" s="83">
        <f>IF(A251&lt;&gt;"",$I$6,"")</f>
        <v>1612.641126853704</v>
      </c>
      <c r="F251" s="84">
        <f>IF(A251&lt;&gt;"",$I$6,"")</f>
        <v>1612.641126853704</v>
      </c>
      <c r="G251" s="6"/>
      <c r="H251" s="6"/>
      <c r="I251" s="6"/>
    </row>
    <row r="252" spans="1:9" x14ac:dyDescent="0.2">
      <c r="A252" s="7">
        <v>251</v>
      </c>
      <c r="B252" s="83">
        <f>IFERROR(IF(B251-D251&gt;=0.01,B251-D251,""),"")</f>
        <v>152424.7793854276</v>
      </c>
      <c r="C252" s="83">
        <f>IFERROR(B252*$I$4/12,"")</f>
        <v>428.05958877407585</v>
      </c>
      <c r="D252" s="84">
        <f>IFERROR(F252-C252,"")</f>
        <v>1184.5815380796282</v>
      </c>
      <c r="E252" s="83">
        <f>IF(A252&lt;&gt;"",$I$6,"")</f>
        <v>1612.641126853704</v>
      </c>
      <c r="F252" s="84">
        <f>IF(A252&lt;&gt;"",$I$6,"")</f>
        <v>1612.641126853704</v>
      </c>
      <c r="G252" s="6"/>
      <c r="H252" s="6"/>
      <c r="I252" s="6"/>
    </row>
    <row r="253" spans="1:9" x14ac:dyDescent="0.2">
      <c r="A253" s="7">
        <v>252</v>
      </c>
      <c r="B253" s="83">
        <f>IFERROR(IF(B252-D252&gt;=0.01,B252-D252,""),"")</f>
        <v>151240.19784734797</v>
      </c>
      <c r="C253" s="83">
        <f>IFERROR(B253*$I$4/12,"")</f>
        <v>424.7328889546356</v>
      </c>
      <c r="D253" s="84">
        <f>IFERROR(F253-C253,"")</f>
        <v>1187.9082378990684</v>
      </c>
      <c r="E253" s="83">
        <f>IF(A253&lt;&gt;"",$I$6,"")</f>
        <v>1612.641126853704</v>
      </c>
      <c r="F253" s="84">
        <f>IF(A253&lt;&gt;"",$I$6,"")</f>
        <v>1612.641126853704</v>
      </c>
      <c r="G253" s="6"/>
      <c r="H253" s="6"/>
      <c r="I253" s="6"/>
    </row>
    <row r="254" spans="1:9" x14ac:dyDescent="0.2">
      <c r="A254" s="7">
        <v>253</v>
      </c>
      <c r="B254" s="83">
        <f>IFERROR(IF(B253-D253&gt;=0.01,B253-D253,""),"")</f>
        <v>150052.2896094489</v>
      </c>
      <c r="C254" s="83">
        <f>IFERROR(B254*$I$4/12,"")</f>
        <v>421.39684665320232</v>
      </c>
      <c r="D254" s="84">
        <f>IFERROR(F254-C254,"")</f>
        <v>1191.2442802005016</v>
      </c>
      <c r="E254" s="83">
        <f>IF(A254&lt;&gt;"",$I$6,"")</f>
        <v>1612.641126853704</v>
      </c>
      <c r="F254" s="84">
        <f>IF(A254&lt;&gt;"",$I$6,"")</f>
        <v>1612.641126853704</v>
      </c>
      <c r="G254" s="6"/>
      <c r="H254" s="6"/>
      <c r="I254" s="6"/>
    </row>
    <row r="255" spans="1:9" x14ac:dyDescent="0.2">
      <c r="A255" s="7">
        <v>254</v>
      </c>
      <c r="B255" s="83">
        <f>IFERROR(IF(B254-D254&gt;=0.01,B254-D254,""),"")</f>
        <v>148861.04532924839</v>
      </c>
      <c r="C255" s="83">
        <f>IFERROR(B255*$I$4/12,"")</f>
        <v>418.05143563297253</v>
      </c>
      <c r="D255" s="84">
        <f>IFERROR(F255-C255,"")</f>
        <v>1194.5896912207315</v>
      </c>
      <c r="E255" s="83">
        <f>IF(A255&lt;&gt;"",$I$6,"")</f>
        <v>1612.641126853704</v>
      </c>
      <c r="F255" s="84">
        <f>IF(A255&lt;&gt;"",$I$6,"")</f>
        <v>1612.641126853704</v>
      </c>
      <c r="G255" s="6"/>
      <c r="H255" s="6"/>
      <c r="I255" s="6"/>
    </row>
    <row r="256" spans="1:9" x14ac:dyDescent="0.2">
      <c r="A256" s="7">
        <v>255</v>
      </c>
      <c r="B256" s="83">
        <f>IFERROR(IF(B255-D255&gt;=0.01,B255-D255,""),"")</f>
        <v>147666.45563802766</v>
      </c>
      <c r="C256" s="83">
        <f>IFERROR(B256*$I$4/12,"")</f>
        <v>414.69662958346106</v>
      </c>
      <c r="D256" s="84">
        <f>IFERROR(F256-C256,"")</f>
        <v>1197.9444972702429</v>
      </c>
      <c r="E256" s="83">
        <f>IF(A256&lt;&gt;"",$I$6,"")</f>
        <v>1612.641126853704</v>
      </c>
      <c r="F256" s="84">
        <f>IF(A256&lt;&gt;"",$I$6,"")</f>
        <v>1612.641126853704</v>
      </c>
      <c r="G256" s="6"/>
      <c r="H256" s="6"/>
      <c r="I256" s="6"/>
    </row>
    <row r="257" spans="1:9" x14ac:dyDescent="0.2">
      <c r="A257" s="7">
        <v>256</v>
      </c>
      <c r="B257" s="83">
        <f>IFERROR(IF(B256-D256&gt;=0.01,B256-D256,""),"")</f>
        <v>146468.51114075741</v>
      </c>
      <c r="C257" s="83">
        <f>IFERROR(B257*$I$4/12,"")</f>
        <v>411.33240212029369</v>
      </c>
      <c r="D257" s="84">
        <f>IFERROR(F257-C257,"")</f>
        <v>1201.3087247334104</v>
      </c>
      <c r="E257" s="83">
        <f>IF(A257&lt;&gt;"",$I$6,"")</f>
        <v>1612.641126853704</v>
      </c>
      <c r="F257" s="84">
        <f>IF(A257&lt;&gt;"",$I$6,"")</f>
        <v>1612.641126853704</v>
      </c>
      <c r="G257" s="6"/>
      <c r="H257" s="6"/>
      <c r="I257" s="6"/>
    </row>
    <row r="258" spans="1:9" x14ac:dyDescent="0.2">
      <c r="A258" s="7">
        <v>257</v>
      </c>
      <c r="B258" s="83">
        <f>IFERROR(IF(B257-D257&gt;=0.01,B257-D257,""),"")</f>
        <v>145267.202416024</v>
      </c>
      <c r="C258" s="83">
        <f>IFERROR(B258*$I$4/12,"")</f>
        <v>407.95872678500069</v>
      </c>
      <c r="D258" s="84">
        <f>IFERROR(F258-C258,"")</f>
        <v>1204.6824000687034</v>
      </c>
      <c r="E258" s="83">
        <f>IF(A258&lt;&gt;"",$I$6,"")</f>
        <v>1612.641126853704</v>
      </c>
      <c r="F258" s="84">
        <f>IF(A258&lt;&gt;"",$I$6,"")</f>
        <v>1612.641126853704</v>
      </c>
      <c r="G258" s="6"/>
      <c r="H258" s="6"/>
      <c r="I258" s="6"/>
    </row>
    <row r="259" spans="1:9" x14ac:dyDescent="0.2">
      <c r="A259" s="7">
        <v>258</v>
      </c>
      <c r="B259" s="83">
        <f>IFERROR(IF(B258-D258&gt;=0.01,B258-D258,""),"")</f>
        <v>144062.52001595529</v>
      </c>
      <c r="C259" s="83">
        <f>IFERROR(B259*$I$4/12,"")</f>
        <v>404.57557704480774</v>
      </c>
      <c r="D259" s="84">
        <f>IFERROR(F259-C259,"")</f>
        <v>1208.0655498088963</v>
      </c>
      <c r="E259" s="83">
        <f>IF(A259&lt;&gt;"",$I$6,"")</f>
        <v>1612.641126853704</v>
      </c>
      <c r="F259" s="84">
        <f>IF(A259&lt;&gt;"",$I$6,"")</f>
        <v>1612.641126853704</v>
      </c>
      <c r="G259" s="6"/>
      <c r="H259" s="6"/>
      <c r="I259" s="6"/>
    </row>
    <row r="260" spans="1:9" x14ac:dyDescent="0.2">
      <c r="A260" s="7">
        <v>259</v>
      </c>
      <c r="B260" s="83">
        <f>IFERROR(IF(B259-D259&gt;=0.01,B259-D259,""),"")</f>
        <v>142854.45446614639</v>
      </c>
      <c r="C260" s="83">
        <f>IFERROR(B260*$I$4/12,"")</f>
        <v>401.18292629242779</v>
      </c>
      <c r="D260" s="84">
        <f>IFERROR(F260-C260,"")</f>
        <v>1211.4582005612763</v>
      </c>
      <c r="E260" s="83">
        <f>IF(A260&lt;&gt;"",$I$6,"")</f>
        <v>1612.641126853704</v>
      </c>
      <c r="F260" s="84">
        <f>IF(A260&lt;&gt;"",$I$6,"")</f>
        <v>1612.641126853704</v>
      </c>
      <c r="G260" s="6"/>
      <c r="H260" s="6"/>
      <c r="I260" s="6"/>
    </row>
    <row r="261" spans="1:9" x14ac:dyDescent="0.2">
      <c r="A261" s="7">
        <v>260</v>
      </c>
      <c r="B261" s="83">
        <f>IFERROR(IF(B260-D260&gt;=0.01,B260-D260,""),"")</f>
        <v>141642.9962655851</v>
      </c>
      <c r="C261" s="83">
        <f>IFERROR(B261*$I$4/12,"")</f>
        <v>397.78074784585147</v>
      </c>
      <c r="D261" s="84">
        <f>IFERROR(F261-C261,"")</f>
        <v>1214.8603790078525</v>
      </c>
      <c r="E261" s="83">
        <f>IF(A261&lt;&gt;"",$I$6,"")</f>
        <v>1612.641126853704</v>
      </c>
      <c r="F261" s="84">
        <f>IF(A261&lt;&gt;"",$I$6,"")</f>
        <v>1612.641126853704</v>
      </c>
      <c r="G261" s="6"/>
      <c r="H261" s="6"/>
      <c r="I261" s="6"/>
    </row>
    <row r="262" spans="1:9" x14ac:dyDescent="0.2">
      <c r="A262" s="7">
        <v>261</v>
      </c>
      <c r="B262" s="83">
        <f>IFERROR(IF(B261-D261&gt;=0.01,B261-D261,""),"")</f>
        <v>140428.13588657725</v>
      </c>
      <c r="C262" s="83">
        <f>IFERROR(B262*$I$4/12,"")</f>
        <v>394.36901494813782</v>
      </c>
      <c r="D262" s="84">
        <f>IFERROR(F262-C262,"")</f>
        <v>1218.2721119055661</v>
      </c>
      <c r="E262" s="83">
        <f>IF(A262&lt;&gt;"",$I$6,"")</f>
        <v>1612.641126853704</v>
      </c>
      <c r="F262" s="84">
        <f>IF(A262&lt;&gt;"",$I$6,"")</f>
        <v>1612.641126853704</v>
      </c>
      <c r="G262" s="6"/>
      <c r="H262" s="6"/>
      <c r="I262" s="6"/>
    </row>
    <row r="263" spans="1:9" x14ac:dyDescent="0.2">
      <c r="A263" s="7">
        <v>262</v>
      </c>
      <c r="B263" s="83">
        <f>IFERROR(IF(B262-D262&gt;=0.01,B262-D262,""),"")</f>
        <v>139209.86377467168</v>
      </c>
      <c r="C263" s="83">
        <f>IFERROR(B263*$I$4/12,"")</f>
        <v>390.947700767203</v>
      </c>
      <c r="D263" s="84">
        <f>IFERROR(F263-C263,"")</f>
        <v>1221.6934260865009</v>
      </c>
      <c r="E263" s="83">
        <f>IF(A263&lt;&gt;"",$I$6,"")</f>
        <v>1612.641126853704</v>
      </c>
      <c r="F263" s="84">
        <f>IF(A263&lt;&gt;"",$I$6,"")</f>
        <v>1612.641126853704</v>
      </c>
      <c r="G263" s="6"/>
      <c r="H263" s="6"/>
      <c r="I263" s="6"/>
    </row>
    <row r="264" spans="1:9" x14ac:dyDescent="0.2">
      <c r="A264" s="7">
        <v>263</v>
      </c>
      <c r="B264" s="83">
        <f>IFERROR(IF(B263-D263&gt;=0.01,B263-D263,""),"")</f>
        <v>137988.17034858518</v>
      </c>
      <c r="C264" s="83">
        <f>IFERROR(B264*$I$4/12,"")</f>
        <v>387.51677839561006</v>
      </c>
      <c r="D264" s="84">
        <f>IFERROR(F264-C264,"")</f>
        <v>1225.1243484580939</v>
      </c>
      <c r="E264" s="83">
        <f>IF(A264&lt;&gt;"",$I$6,"")</f>
        <v>1612.641126853704</v>
      </c>
      <c r="F264" s="84">
        <f>IF(A264&lt;&gt;"",$I$6,"")</f>
        <v>1612.641126853704</v>
      </c>
      <c r="G264" s="6"/>
      <c r="H264" s="6"/>
      <c r="I264" s="6"/>
    </row>
    <row r="265" spans="1:9" x14ac:dyDescent="0.2">
      <c r="A265" s="7">
        <v>264</v>
      </c>
      <c r="B265" s="83">
        <f>IFERROR(IF(B264-D264&gt;=0.01,B264-D264,""),"")</f>
        <v>136763.04600012707</v>
      </c>
      <c r="C265" s="83">
        <f>IFERROR(B265*$I$4/12,"")</f>
        <v>384.07622085035683</v>
      </c>
      <c r="D265" s="84">
        <f>IFERROR(F265-C265,"")</f>
        <v>1228.5649060033472</v>
      </c>
      <c r="E265" s="83">
        <f>IF(A265&lt;&gt;"",$I$6,"")</f>
        <v>1612.641126853704</v>
      </c>
      <c r="F265" s="84">
        <f>IF(A265&lt;&gt;"",$I$6,"")</f>
        <v>1612.641126853704</v>
      </c>
      <c r="G265" s="6"/>
      <c r="H265" s="6"/>
      <c r="I265" s="6"/>
    </row>
    <row r="266" spans="1:9" x14ac:dyDescent="0.2">
      <c r="A266" s="7">
        <v>265</v>
      </c>
      <c r="B266" s="83">
        <f>IFERROR(IF(B265-D265&gt;=0.01,B265-D265,""),"")</f>
        <v>135534.48109412371</v>
      </c>
      <c r="C266" s="83">
        <f>IFERROR(B266*$I$4/12,"")</f>
        <v>380.62600107266411</v>
      </c>
      <c r="D266" s="84">
        <f>IFERROR(F266-C266,"")</f>
        <v>1232.0151257810398</v>
      </c>
      <c r="E266" s="83">
        <f>IF(A266&lt;&gt;"",$I$6,"")</f>
        <v>1612.641126853704</v>
      </c>
      <c r="F266" s="84">
        <f>IF(A266&lt;&gt;"",$I$6,"")</f>
        <v>1612.641126853704</v>
      </c>
      <c r="G266" s="6"/>
      <c r="H266" s="6"/>
      <c r="I266" s="6"/>
    </row>
    <row r="267" spans="1:9" x14ac:dyDescent="0.2">
      <c r="A267" s="7">
        <v>266</v>
      </c>
      <c r="B267" s="83">
        <f>IFERROR(IF(B266-D266&gt;=0.01,B266-D266,""),"")</f>
        <v>134302.46596834267</v>
      </c>
      <c r="C267" s="83">
        <f>IFERROR(B267*$I$4/12,"")</f>
        <v>377.16609192776235</v>
      </c>
      <c r="D267" s="84">
        <f>IFERROR(F267-C267,"")</f>
        <v>1235.4750349259416</v>
      </c>
      <c r="E267" s="83">
        <f>IF(A267&lt;&gt;"",$I$6,"")</f>
        <v>1612.641126853704</v>
      </c>
      <c r="F267" s="84">
        <f>IF(A267&lt;&gt;"",$I$6,"")</f>
        <v>1612.641126853704</v>
      </c>
      <c r="G267" s="6"/>
      <c r="H267" s="6"/>
      <c r="I267" s="6"/>
    </row>
    <row r="268" spans="1:9" x14ac:dyDescent="0.2">
      <c r="A268" s="7">
        <v>267</v>
      </c>
      <c r="B268" s="83">
        <f>IFERROR(IF(B267-D267&gt;=0.01,B267-D267,""),"")</f>
        <v>133066.99093341673</v>
      </c>
      <c r="C268" s="83">
        <f>IFERROR(B268*$I$4/12,"")</f>
        <v>373.6964662046787</v>
      </c>
      <c r="D268" s="84">
        <f>IFERROR(F268-C268,"")</f>
        <v>1238.9446606490253</v>
      </c>
      <c r="E268" s="83">
        <f>IF(A268&lt;&gt;"",$I$6,"")</f>
        <v>1612.641126853704</v>
      </c>
      <c r="F268" s="84">
        <f>IF(A268&lt;&gt;"",$I$6,"")</f>
        <v>1612.641126853704</v>
      </c>
      <c r="G268" s="6"/>
      <c r="H268" s="6"/>
      <c r="I268" s="6"/>
    </row>
    <row r="269" spans="1:9" x14ac:dyDescent="0.2">
      <c r="A269" s="7">
        <v>268</v>
      </c>
      <c r="B269" s="83">
        <f>IFERROR(IF(B268-D268&gt;=0.01,B268-D268,""),"")</f>
        <v>131828.04627276771</v>
      </c>
      <c r="C269" s="83">
        <f>IFERROR(B269*$I$4/12,"")</f>
        <v>370.21709661602267</v>
      </c>
      <c r="D269" s="84">
        <f>IFERROR(F269-C269,"")</f>
        <v>1242.4240302376813</v>
      </c>
      <c r="E269" s="83">
        <f>IF(A269&lt;&gt;"",$I$6,"")</f>
        <v>1612.641126853704</v>
      </c>
      <c r="F269" s="84">
        <f>IF(A269&lt;&gt;"",$I$6,"")</f>
        <v>1612.641126853704</v>
      </c>
      <c r="G269" s="6"/>
      <c r="H269" s="6"/>
      <c r="I269" s="6"/>
    </row>
    <row r="270" spans="1:9" x14ac:dyDescent="0.2">
      <c r="A270" s="7">
        <v>269</v>
      </c>
      <c r="B270" s="83">
        <f>IFERROR(IF(B269-D269&gt;=0.01,B269-D269,""),"")</f>
        <v>130585.62224253002</v>
      </c>
      <c r="C270" s="83">
        <f>IFERROR(B270*$I$4/12,"")</f>
        <v>366.72795579777181</v>
      </c>
      <c r="D270" s="84">
        <f>IFERROR(F270-C270,"")</f>
        <v>1245.9131710559323</v>
      </c>
      <c r="E270" s="83">
        <f>IF(A270&lt;&gt;"",$I$6,"")</f>
        <v>1612.641126853704</v>
      </c>
      <c r="F270" s="84">
        <f>IF(A270&lt;&gt;"",$I$6,"")</f>
        <v>1612.641126853704</v>
      </c>
      <c r="G270" s="6"/>
      <c r="H270" s="6"/>
      <c r="I270" s="6"/>
    </row>
    <row r="271" spans="1:9" x14ac:dyDescent="0.2">
      <c r="A271" s="7">
        <v>270</v>
      </c>
      <c r="B271" s="83">
        <f>IFERROR(IF(B270-D270&gt;=0.01,B270-D270,""),"")</f>
        <v>129339.70907147409</v>
      </c>
      <c r="C271" s="83">
        <f>IFERROR(B271*$I$4/12,"")</f>
        <v>363.22901630905636</v>
      </c>
      <c r="D271" s="84">
        <f>IFERROR(F271-C271,"")</f>
        <v>1249.4121105446477</v>
      </c>
      <c r="E271" s="83">
        <f>IF(A271&lt;&gt;"",$I$6,"")</f>
        <v>1612.641126853704</v>
      </c>
      <c r="F271" s="84">
        <f>IF(A271&lt;&gt;"",$I$6,"")</f>
        <v>1612.641126853704</v>
      </c>
      <c r="G271" s="6"/>
      <c r="H271" s="6"/>
      <c r="I271" s="6"/>
    </row>
    <row r="272" spans="1:9" x14ac:dyDescent="0.2">
      <c r="A272" s="7">
        <v>271</v>
      </c>
      <c r="B272" s="83">
        <f>IFERROR(IF(B271-D271&gt;=0.01,B271-D271,""),"")</f>
        <v>128090.29696092944</v>
      </c>
      <c r="C272" s="83">
        <f>IFERROR(B272*$I$4/12,"")</f>
        <v>359.72025063194354</v>
      </c>
      <c r="D272" s="84">
        <f>IFERROR(F272-C272,"")</f>
        <v>1252.9208762217604</v>
      </c>
      <c r="E272" s="83">
        <f>IF(A272&lt;&gt;"",$I$6,"")</f>
        <v>1612.641126853704</v>
      </c>
      <c r="F272" s="84">
        <f>IF(A272&lt;&gt;"",$I$6,"")</f>
        <v>1612.641126853704</v>
      </c>
      <c r="G272" s="6"/>
      <c r="H272" s="6"/>
      <c r="I272" s="6"/>
    </row>
    <row r="273" spans="1:9" x14ac:dyDescent="0.2">
      <c r="A273" s="7">
        <v>272</v>
      </c>
      <c r="B273" s="83">
        <f>IFERROR(IF(B272-D272&gt;=0.01,B272-D272,""),"")</f>
        <v>126837.37608470768</v>
      </c>
      <c r="C273" s="83">
        <f>IFERROR(B273*$I$4/12,"")</f>
        <v>356.20163117122075</v>
      </c>
      <c r="D273" s="84">
        <f>IFERROR(F273-C273,"")</f>
        <v>1256.4394956824833</v>
      </c>
      <c r="E273" s="83">
        <f>IF(A273&lt;&gt;"",$I$6,"")</f>
        <v>1612.641126853704</v>
      </c>
      <c r="F273" s="84">
        <f>IF(A273&lt;&gt;"",$I$6,"")</f>
        <v>1612.641126853704</v>
      </c>
      <c r="G273" s="6"/>
      <c r="H273" s="6"/>
      <c r="I273" s="6"/>
    </row>
    <row r="274" spans="1:9" x14ac:dyDescent="0.2">
      <c r="A274" s="7">
        <v>273</v>
      </c>
      <c r="B274" s="83">
        <f>IFERROR(IF(B273-D273&gt;=0.01,B273-D273,""),"")</f>
        <v>125580.93658902519</v>
      </c>
      <c r="C274" s="83">
        <f>IFERROR(B274*$I$4/12,"")</f>
        <v>352.67313025417911</v>
      </c>
      <c r="D274" s="84">
        <f>IFERROR(F274-C274,"")</f>
        <v>1259.9679965995249</v>
      </c>
      <c r="E274" s="83">
        <f>IF(A274&lt;&gt;"",$I$6,"")</f>
        <v>1612.641126853704</v>
      </c>
      <c r="F274" s="84">
        <f>IF(A274&lt;&gt;"",$I$6,"")</f>
        <v>1612.641126853704</v>
      </c>
      <c r="G274" s="6"/>
      <c r="H274" s="6"/>
      <c r="I274" s="6"/>
    </row>
    <row r="275" spans="1:9" x14ac:dyDescent="0.2">
      <c r="A275" s="7">
        <v>274</v>
      </c>
      <c r="B275" s="83">
        <f>IFERROR(IF(B274-D274&gt;=0.01,B274-D274,""),"")</f>
        <v>124320.96859242566</v>
      </c>
      <c r="C275" s="83">
        <f>IFERROR(B275*$I$4/12,"")</f>
        <v>349.13472013039541</v>
      </c>
      <c r="D275" s="84">
        <f>IFERROR(F275-C275,"")</f>
        <v>1263.5064067233086</v>
      </c>
      <c r="E275" s="83">
        <f>IF(A275&lt;&gt;"",$I$6,"")</f>
        <v>1612.641126853704</v>
      </c>
      <c r="F275" s="84">
        <f>IF(A275&lt;&gt;"",$I$6,"")</f>
        <v>1612.641126853704</v>
      </c>
      <c r="G275" s="6"/>
      <c r="H275" s="6"/>
      <c r="I275" s="6"/>
    </row>
    <row r="276" spans="1:9" x14ac:dyDescent="0.2">
      <c r="A276" s="7">
        <v>275</v>
      </c>
      <c r="B276" s="83">
        <f>IFERROR(IF(B275-D275&gt;=0.01,B275-D275,""),"")</f>
        <v>123057.46218570236</v>
      </c>
      <c r="C276" s="83">
        <f>IFERROR(B276*$I$4/12,"")</f>
        <v>345.58637297151409</v>
      </c>
      <c r="D276" s="84">
        <f>IFERROR(F276-C276,"")</f>
        <v>1267.05475388219</v>
      </c>
      <c r="E276" s="83">
        <f>IF(A276&lt;&gt;"",$I$6,"")</f>
        <v>1612.641126853704</v>
      </c>
      <c r="F276" s="84">
        <f>IF(A276&lt;&gt;"",$I$6,"")</f>
        <v>1612.641126853704</v>
      </c>
      <c r="G276" s="6"/>
      <c r="H276" s="6"/>
      <c r="I276" s="6"/>
    </row>
    <row r="277" spans="1:9" x14ac:dyDescent="0.2">
      <c r="A277" s="7">
        <v>276</v>
      </c>
      <c r="B277" s="83">
        <f>IFERROR(IF(B276-D276&gt;=0.01,B276-D276,""),"")</f>
        <v>121790.40743182017</v>
      </c>
      <c r="C277" s="83">
        <f>IFERROR(B277*$I$4/12,"")</f>
        <v>342.02806087102834</v>
      </c>
      <c r="D277" s="84">
        <f>IFERROR(F277-C277,"")</f>
        <v>1270.6130659826756</v>
      </c>
      <c r="E277" s="83">
        <f>IF(A277&lt;&gt;"",$I$6,"")</f>
        <v>1612.641126853704</v>
      </c>
      <c r="F277" s="84">
        <f>IF(A277&lt;&gt;"",$I$6,"")</f>
        <v>1612.641126853704</v>
      </c>
      <c r="G277" s="6"/>
      <c r="H277" s="6"/>
      <c r="I277" s="6"/>
    </row>
    <row r="278" spans="1:9" x14ac:dyDescent="0.2">
      <c r="A278" s="7">
        <v>277</v>
      </c>
      <c r="B278" s="83">
        <f>IFERROR(IF(B277-D277&gt;=0.01,B277-D277,""),"")</f>
        <v>120519.7943658375</v>
      </c>
      <c r="C278" s="83">
        <f>IFERROR(B278*$I$4/12,"")</f>
        <v>338.45975584406034</v>
      </c>
      <c r="D278" s="84">
        <f>IFERROR(F278-C278,"")</f>
        <v>1274.1813710096437</v>
      </c>
      <c r="E278" s="83">
        <f>IF(A278&lt;&gt;"",$I$6,"")</f>
        <v>1612.641126853704</v>
      </c>
      <c r="F278" s="84">
        <f>IF(A278&lt;&gt;"",$I$6,"")</f>
        <v>1612.641126853704</v>
      </c>
      <c r="G278" s="6"/>
      <c r="H278" s="6"/>
      <c r="I278" s="6"/>
    </row>
    <row r="279" spans="1:9" x14ac:dyDescent="0.2">
      <c r="A279" s="7">
        <v>278</v>
      </c>
      <c r="B279" s="83">
        <f>IFERROR(IF(B278-D278&gt;=0.01,B278-D278,""),"")</f>
        <v>119245.61299482785</v>
      </c>
      <c r="C279" s="83">
        <f>IFERROR(B279*$I$4/12,"")</f>
        <v>334.88142982714157</v>
      </c>
      <c r="D279" s="84">
        <f>IFERROR(F279-C279,"")</f>
        <v>1277.7596970265624</v>
      </c>
      <c r="E279" s="83">
        <f>IF(A279&lt;&gt;"",$I$6,"")</f>
        <v>1612.641126853704</v>
      </c>
      <c r="F279" s="84">
        <f>IF(A279&lt;&gt;"",$I$6,"")</f>
        <v>1612.641126853704</v>
      </c>
      <c r="G279" s="6"/>
      <c r="H279" s="6"/>
      <c r="I279" s="6"/>
    </row>
    <row r="280" spans="1:9" x14ac:dyDescent="0.2">
      <c r="A280" s="7">
        <v>279</v>
      </c>
      <c r="B280" s="83">
        <f>IFERROR(IF(B279-D279&gt;=0.01,B279-D279,""),"")</f>
        <v>117967.8532978013</v>
      </c>
      <c r="C280" s="83">
        <f>IFERROR(B280*$I$4/12,"")</f>
        <v>331.29305467799196</v>
      </c>
      <c r="D280" s="84">
        <f>IFERROR(F280-C280,"")</f>
        <v>1281.3480721757121</v>
      </c>
      <c r="E280" s="83">
        <f>IF(A280&lt;&gt;"",$I$6,"")</f>
        <v>1612.641126853704</v>
      </c>
      <c r="F280" s="84">
        <f>IF(A280&lt;&gt;"",$I$6,"")</f>
        <v>1612.641126853704</v>
      </c>
      <c r="G280" s="6"/>
      <c r="H280" s="6"/>
      <c r="I280" s="6"/>
    </row>
    <row r="281" spans="1:9" x14ac:dyDescent="0.2">
      <c r="A281" s="7">
        <v>280</v>
      </c>
      <c r="B281" s="83">
        <f>IFERROR(IF(B280-D280&gt;=0.01,B280-D280,""),"")</f>
        <v>116686.50522562559</v>
      </c>
      <c r="C281" s="83">
        <f>IFERROR(B281*$I$4/12,"")</f>
        <v>327.69460217529854</v>
      </c>
      <c r="D281" s="84">
        <f>IFERROR(F281-C281,"")</f>
        <v>1284.9465246784055</v>
      </c>
      <c r="E281" s="83">
        <f>IF(A281&lt;&gt;"",$I$6,"")</f>
        <v>1612.641126853704</v>
      </c>
      <c r="F281" s="84">
        <f>IF(A281&lt;&gt;"",$I$6,"")</f>
        <v>1612.641126853704</v>
      </c>
      <c r="G281" s="6"/>
      <c r="H281" s="6"/>
      <c r="I281" s="6"/>
    </row>
    <row r="282" spans="1:9" x14ac:dyDescent="0.2">
      <c r="A282" s="7">
        <v>281</v>
      </c>
      <c r="B282" s="83">
        <f>IFERROR(IF(B281-D281&gt;=0.01,B281-D281,""),"")</f>
        <v>115401.55870094718</v>
      </c>
      <c r="C282" s="83">
        <f>IFERROR(B282*$I$4/12,"")</f>
        <v>324.08604401849334</v>
      </c>
      <c r="D282" s="84">
        <f>IFERROR(F282-C282,"")</f>
        <v>1288.5550828352107</v>
      </c>
      <c r="E282" s="83">
        <f>IF(A282&lt;&gt;"",$I$6,"")</f>
        <v>1612.641126853704</v>
      </c>
      <c r="F282" s="84">
        <f>IF(A282&lt;&gt;"",$I$6,"")</f>
        <v>1612.641126853704</v>
      </c>
      <c r="G282" s="6"/>
      <c r="H282" s="6"/>
      <c r="I282" s="6"/>
    </row>
    <row r="283" spans="1:9" x14ac:dyDescent="0.2">
      <c r="A283" s="7">
        <v>282</v>
      </c>
      <c r="B283" s="83">
        <f>IFERROR(IF(B282-D282&gt;=0.01,B282-D282,""),"")</f>
        <v>114113.00361811196</v>
      </c>
      <c r="C283" s="83">
        <f>IFERROR(B283*$I$4/12,"")</f>
        <v>320.4673518275311</v>
      </c>
      <c r="D283" s="84">
        <f>IFERROR(F283-C283,"")</f>
        <v>1292.173775026173</v>
      </c>
      <c r="E283" s="83">
        <f>IF(A283&lt;&gt;"",$I$6,"")</f>
        <v>1612.641126853704</v>
      </c>
      <c r="F283" s="84">
        <f>IF(A283&lt;&gt;"",$I$6,"")</f>
        <v>1612.641126853704</v>
      </c>
      <c r="G283" s="6"/>
      <c r="H283" s="6"/>
      <c r="I283" s="6"/>
    </row>
    <row r="284" spans="1:9" x14ac:dyDescent="0.2">
      <c r="A284" s="7">
        <v>283</v>
      </c>
      <c r="B284" s="83">
        <f>IFERROR(IF(B283-D283&gt;=0.01,B283-D283,""),"")</f>
        <v>112820.8298430858</v>
      </c>
      <c r="C284" s="83">
        <f>IFERROR(B284*$I$4/12,"")</f>
        <v>316.83849714266597</v>
      </c>
      <c r="D284" s="84">
        <f>IFERROR(F284-C284,"")</f>
        <v>1295.802629711038</v>
      </c>
      <c r="E284" s="83">
        <f>IF(A284&lt;&gt;"",$I$6,"")</f>
        <v>1612.641126853704</v>
      </c>
      <c r="F284" s="84">
        <f>IF(A284&lt;&gt;"",$I$6,"")</f>
        <v>1612.641126853704</v>
      </c>
      <c r="G284" s="6"/>
      <c r="H284" s="6"/>
      <c r="I284" s="6"/>
    </row>
    <row r="285" spans="1:9" x14ac:dyDescent="0.2">
      <c r="A285" s="7">
        <v>284</v>
      </c>
      <c r="B285" s="83">
        <f>IFERROR(IF(B284-D284&gt;=0.01,B284-D284,""),"")</f>
        <v>111525.02721337476</v>
      </c>
      <c r="C285" s="83">
        <f>IFERROR(B285*$I$4/12,"")</f>
        <v>313.19945142422745</v>
      </c>
      <c r="D285" s="84">
        <f>IFERROR(F285-C285,"")</f>
        <v>1299.4416754294766</v>
      </c>
      <c r="E285" s="83">
        <f>IF(A285&lt;&gt;"",$I$6,"")</f>
        <v>1612.641126853704</v>
      </c>
      <c r="F285" s="84">
        <f>IF(A285&lt;&gt;"",$I$6,"")</f>
        <v>1612.641126853704</v>
      </c>
      <c r="G285" s="6"/>
      <c r="H285" s="6"/>
      <c r="I285" s="6"/>
    </row>
    <row r="286" spans="1:9" x14ac:dyDescent="0.2">
      <c r="A286" s="7">
        <v>285</v>
      </c>
      <c r="B286" s="83">
        <f>IFERROR(IF(B285-D285&gt;=0.01,B285-D285,""),"")</f>
        <v>110225.58553794528</v>
      </c>
      <c r="C286" s="83">
        <f>IFERROR(B286*$I$4/12,"")</f>
        <v>309.55018605239633</v>
      </c>
      <c r="D286" s="84">
        <f>IFERROR(F286-C286,"")</f>
        <v>1303.0909408013076</v>
      </c>
      <c r="E286" s="83">
        <f>IF(A286&lt;&gt;"",$I$6,"")</f>
        <v>1612.641126853704</v>
      </c>
      <c r="F286" s="84">
        <f>IF(A286&lt;&gt;"",$I$6,"")</f>
        <v>1612.641126853704</v>
      </c>
      <c r="G286" s="6"/>
      <c r="H286" s="6"/>
      <c r="I286" s="6"/>
    </row>
    <row r="287" spans="1:9" x14ac:dyDescent="0.2">
      <c r="A287" s="7">
        <v>286</v>
      </c>
      <c r="B287" s="83">
        <f>IFERROR(IF(B286-D286&gt;=0.01,B286-D286,""),"")</f>
        <v>108922.49459714397</v>
      </c>
      <c r="C287" s="83">
        <f>IFERROR(B287*$I$4/12,"")</f>
        <v>305.89067232697931</v>
      </c>
      <c r="D287" s="84">
        <f>IFERROR(F287-C287,"")</f>
        <v>1306.7504545267248</v>
      </c>
      <c r="E287" s="83">
        <f>IF(A287&lt;&gt;"",$I$6,"")</f>
        <v>1612.641126853704</v>
      </c>
      <c r="F287" s="84">
        <f>IF(A287&lt;&gt;"",$I$6,"")</f>
        <v>1612.641126853704</v>
      </c>
      <c r="G287" s="6"/>
      <c r="H287" s="6"/>
      <c r="I287" s="6"/>
    </row>
    <row r="288" spans="1:9" x14ac:dyDescent="0.2">
      <c r="A288" s="7">
        <v>287</v>
      </c>
      <c r="B288" s="83">
        <f>IFERROR(IF(B287-D287&gt;=0.01,B287-D287,""),"")</f>
        <v>107615.74414261724</v>
      </c>
      <c r="C288" s="83">
        <f>IFERROR(B288*$I$4/12,"")</f>
        <v>302.22088146718346</v>
      </c>
      <c r="D288" s="84">
        <f>IFERROR(F288-C288,"")</f>
        <v>1310.4202453865205</v>
      </c>
      <c r="E288" s="83">
        <f>IF(A288&lt;&gt;"",$I$6,"")</f>
        <v>1612.641126853704</v>
      </c>
      <c r="F288" s="84">
        <f>IF(A288&lt;&gt;"",$I$6,"")</f>
        <v>1612.641126853704</v>
      </c>
      <c r="G288" s="6"/>
      <c r="H288" s="6"/>
      <c r="I288" s="6"/>
    </row>
    <row r="289" spans="1:9" x14ac:dyDescent="0.2">
      <c r="A289" s="7">
        <v>288</v>
      </c>
      <c r="B289" s="83">
        <f>IFERROR(IF(B288-D288&gt;=0.01,B288-D288,""),"")</f>
        <v>106305.32389723073</v>
      </c>
      <c r="C289" s="83">
        <f>IFERROR(B289*$I$4/12,"")</f>
        <v>298.54078461138965</v>
      </c>
      <c r="D289" s="84">
        <f>IFERROR(F289-C289,"")</f>
        <v>1314.1003422423144</v>
      </c>
      <c r="E289" s="83">
        <f>IF(A289&lt;&gt;"",$I$6,"")</f>
        <v>1612.641126853704</v>
      </c>
      <c r="F289" s="84">
        <f>IF(A289&lt;&gt;"",$I$6,"")</f>
        <v>1612.641126853704</v>
      </c>
      <c r="G289" s="6"/>
      <c r="H289" s="6"/>
      <c r="I289" s="6"/>
    </row>
    <row r="290" spans="1:9" x14ac:dyDescent="0.2">
      <c r="A290" s="7">
        <v>289</v>
      </c>
      <c r="B290" s="83">
        <f>IFERROR(IF(B289-D289&gt;=0.01,B289-D289,""),"")</f>
        <v>104991.22355498842</v>
      </c>
      <c r="C290" s="83">
        <f>IFERROR(B290*$I$4/12,"")</f>
        <v>294.85035281692581</v>
      </c>
      <c r="D290" s="84">
        <f>IFERROR(F290-C290,"")</f>
        <v>1317.7907740367782</v>
      </c>
      <c r="E290" s="83">
        <f>IF(A290&lt;&gt;"",$I$6,"")</f>
        <v>1612.641126853704</v>
      </c>
      <c r="F290" s="84">
        <f>IF(A290&lt;&gt;"",$I$6,"")</f>
        <v>1612.641126853704</v>
      </c>
      <c r="G290" s="6"/>
      <c r="H290" s="6"/>
      <c r="I290" s="6"/>
    </row>
    <row r="291" spans="1:9" x14ac:dyDescent="0.2">
      <c r="A291" s="7">
        <v>290</v>
      </c>
      <c r="B291" s="83">
        <f>IFERROR(IF(B290-D290&gt;=0.01,B290-D290,""),"")</f>
        <v>103673.43278095164</v>
      </c>
      <c r="C291" s="83">
        <f>IFERROR(B291*$I$4/12,"")</f>
        <v>291.1495570598392</v>
      </c>
      <c r="D291" s="84">
        <f>IFERROR(F291-C291,"")</f>
        <v>1321.4915697938648</v>
      </c>
      <c r="E291" s="83">
        <f>IF(A291&lt;&gt;"",$I$6,"")</f>
        <v>1612.641126853704</v>
      </c>
      <c r="F291" s="84">
        <f>IF(A291&lt;&gt;"",$I$6,"")</f>
        <v>1612.641126853704</v>
      </c>
      <c r="G291" s="6"/>
      <c r="H291" s="6"/>
      <c r="I291" s="6"/>
    </row>
    <row r="292" spans="1:9" x14ac:dyDescent="0.2">
      <c r="A292" s="7">
        <v>291</v>
      </c>
      <c r="B292" s="83">
        <f>IFERROR(IF(B291-D291&gt;=0.01,B291-D291,""),"")</f>
        <v>102351.94121115777</v>
      </c>
      <c r="C292" s="83">
        <f>IFERROR(B292*$I$4/12,"")</f>
        <v>287.43836823466808</v>
      </c>
      <c r="D292" s="84">
        <f>IFERROR(F292-C292,"")</f>
        <v>1325.2027586190359</v>
      </c>
      <c r="E292" s="83">
        <f>IF(A292&lt;&gt;"",$I$6,"")</f>
        <v>1612.641126853704</v>
      </c>
      <c r="F292" s="84">
        <f>IF(A292&lt;&gt;"",$I$6,"")</f>
        <v>1612.641126853704</v>
      </c>
      <c r="G292" s="6"/>
      <c r="H292" s="6"/>
      <c r="I292" s="6"/>
    </row>
    <row r="293" spans="1:9" x14ac:dyDescent="0.2">
      <c r="A293" s="7">
        <v>292</v>
      </c>
      <c r="B293" s="83">
        <f>IFERROR(IF(B292-D292&gt;=0.01,B292-D292,""),"")</f>
        <v>101026.73845253873</v>
      </c>
      <c r="C293" s="83">
        <f>IFERROR(B293*$I$4/12,"")</f>
        <v>283.71675715421293</v>
      </c>
      <c r="D293" s="84">
        <f>IFERROR(F293-C293,"")</f>
        <v>1328.9243696994911</v>
      </c>
      <c r="E293" s="83">
        <f>IF(A293&lt;&gt;"",$I$6,"")</f>
        <v>1612.641126853704</v>
      </c>
      <c r="F293" s="84">
        <f>IF(A293&lt;&gt;"",$I$6,"")</f>
        <v>1612.641126853704</v>
      </c>
      <c r="G293" s="6"/>
      <c r="H293" s="6"/>
      <c r="I293" s="6"/>
    </row>
    <row r="294" spans="1:9" x14ac:dyDescent="0.2">
      <c r="A294" s="7">
        <v>293</v>
      </c>
      <c r="B294" s="83">
        <f>IFERROR(IF(B293-D293&gt;=0.01,B293-D293,""),"")</f>
        <v>99697.814082839235</v>
      </c>
      <c r="C294" s="83">
        <f>IFERROR(B294*$I$4/12,"")</f>
        <v>279.98469454930688</v>
      </c>
      <c r="D294" s="84">
        <f>IFERROR(F294-C294,"")</f>
        <v>1332.6564323043972</v>
      </c>
      <c r="E294" s="83">
        <f>IF(A294&lt;&gt;"",$I$6,"")</f>
        <v>1612.641126853704</v>
      </c>
      <c r="F294" s="84">
        <f>IF(A294&lt;&gt;"",$I$6,"")</f>
        <v>1612.641126853704</v>
      </c>
      <c r="G294" s="6"/>
      <c r="H294" s="6"/>
      <c r="I294" s="6"/>
    </row>
    <row r="295" spans="1:9" x14ac:dyDescent="0.2">
      <c r="A295" s="7">
        <v>294</v>
      </c>
      <c r="B295" s="83">
        <f>IFERROR(IF(B294-D294&gt;=0.01,B294-D294,""),"")</f>
        <v>98365.157650534835</v>
      </c>
      <c r="C295" s="83">
        <f>IFERROR(B295*$I$4/12,"")</f>
        <v>276.24215106858531</v>
      </c>
      <c r="D295" s="84">
        <f>IFERROR(F295-C295,"")</f>
        <v>1336.3989757851186</v>
      </c>
      <c r="E295" s="83">
        <f>IF(A295&lt;&gt;"",$I$6,"")</f>
        <v>1612.641126853704</v>
      </c>
      <c r="F295" s="84">
        <f>IF(A295&lt;&gt;"",$I$6,"")</f>
        <v>1612.641126853704</v>
      </c>
      <c r="G295" s="6"/>
      <c r="H295" s="6"/>
      <c r="I295" s="6"/>
    </row>
    <row r="296" spans="1:9" x14ac:dyDescent="0.2">
      <c r="A296" s="7">
        <v>295</v>
      </c>
      <c r="B296" s="83">
        <f>IFERROR(IF(B295-D295&gt;=0.01,B295-D295,""),"")</f>
        <v>97028.758674749712</v>
      </c>
      <c r="C296" s="83">
        <f>IFERROR(B296*$I$4/12,"")</f>
        <v>272.48909727825543</v>
      </c>
      <c r="D296" s="84">
        <f>IFERROR(F296-C296,"")</f>
        <v>1340.1520295754485</v>
      </c>
      <c r="E296" s="83">
        <f>IF(A296&lt;&gt;"",$I$6,"")</f>
        <v>1612.641126853704</v>
      </c>
      <c r="F296" s="84">
        <f>IF(A296&lt;&gt;"",$I$6,"")</f>
        <v>1612.641126853704</v>
      </c>
      <c r="G296" s="6"/>
      <c r="H296" s="6"/>
      <c r="I296" s="6"/>
    </row>
    <row r="297" spans="1:9" x14ac:dyDescent="0.2">
      <c r="A297" s="7">
        <v>296</v>
      </c>
      <c r="B297" s="83">
        <f>IFERROR(IF(B296-D296&gt;=0.01,B296-D296,""),"")</f>
        <v>95688.606645174266</v>
      </c>
      <c r="C297" s="83">
        <f>IFERROR(B297*$I$4/12,"")</f>
        <v>268.72550366186442</v>
      </c>
      <c r="D297" s="84">
        <f>IFERROR(F297-C297,"")</f>
        <v>1343.9156231918396</v>
      </c>
      <c r="E297" s="83">
        <f>IF(A297&lt;&gt;"",$I$6,"")</f>
        <v>1612.641126853704</v>
      </c>
      <c r="F297" s="84">
        <f>IF(A297&lt;&gt;"",$I$6,"")</f>
        <v>1612.641126853704</v>
      </c>
      <c r="G297" s="6"/>
      <c r="H297" s="6"/>
      <c r="I297" s="6"/>
    </row>
    <row r="298" spans="1:9" x14ac:dyDescent="0.2">
      <c r="A298" s="7">
        <v>297</v>
      </c>
      <c r="B298" s="83">
        <f>IFERROR(IF(B297-D297&gt;=0.01,B297-D297,""),"")</f>
        <v>94344.69102198242</v>
      </c>
      <c r="C298" s="83">
        <f>IFERROR(B298*$I$4/12,"")</f>
        <v>264.9513406200673</v>
      </c>
      <c r="D298" s="84">
        <f>IFERROR(F298-C298,"")</f>
        <v>1347.6897862336368</v>
      </c>
      <c r="E298" s="83">
        <f>IF(A298&lt;&gt;"",$I$6,"")</f>
        <v>1612.641126853704</v>
      </c>
      <c r="F298" s="84">
        <f>IF(A298&lt;&gt;"",$I$6,"")</f>
        <v>1612.641126853704</v>
      </c>
      <c r="G298" s="6"/>
      <c r="H298" s="6"/>
      <c r="I298" s="6"/>
    </row>
    <row r="299" spans="1:9" x14ac:dyDescent="0.2">
      <c r="A299" s="7">
        <v>298</v>
      </c>
      <c r="B299" s="83">
        <f>IFERROR(IF(B298-D298&gt;=0.01,B298-D298,""),"")</f>
        <v>92997.001235748787</v>
      </c>
      <c r="C299" s="83">
        <f>IFERROR(B299*$I$4/12,"")</f>
        <v>261.16657847039454</v>
      </c>
      <c r="D299" s="84">
        <f>IFERROR(F299-C299,"")</f>
        <v>1351.4745483833094</v>
      </c>
      <c r="E299" s="83">
        <f>IF(A299&lt;&gt;"",$I$6,"")</f>
        <v>1612.641126853704</v>
      </c>
      <c r="F299" s="84">
        <f>IF(A299&lt;&gt;"",$I$6,"")</f>
        <v>1612.641126853704</v>
      </c>
      <c r="G299" s="6"/>
      <c r="H299" s="6"/>
      <c r="I299" s="6"/>
    </row>
    <row r="300" spans="1:9" x14ac:dyDescent="0.2">
      <c r="A300" s="7">
        <v>299</v>
      </c>
      <c r="B300" s="83">
        <f>IFERROR(IF(B299-D299&gt;=0.01,B299-D299,""),"")</f>
        <v>91645.526687365476</v>
      </c>
      <c r="C300" s="83">
        <f>IFERROR(B300*$I$4/12,"")</f>
        <v>257.37118744701803</v>
      </c>
      <c r="D300" s="84">
        <f>IFERROR(F300-C300,"")</f>
        <v>1355.269939406686</v>
      </c>
      <c r="E300" s="83">
        <f>IF(A300&lt;&gt;"",$I$6,"")</f>
        <v>1612.641126853704</v>
      </c>
      <c r="F300" s="84">
        <f>IF(A300&lt;&gt;"",$I$6,"")</f>
        <v>1612.641126853704</v>
      </c>
      <c r="G300" s="6"/>
      <c r="H300" s="6"/>
      <c r="I300" s="6"/>
    </row>
    <row r="301" spans="1:9" x14ac:dyDescent="0.2">
      <c r="A301" s="7">
        <v>300</v>
      </c>
      <c r="B301" s="83">
        <f>IFERROR(IF(B300-D300&gt;=0.01,B300-D300,""),"")</f>
        <v>90290.256747958789</v>
      </c>
      <c r="C301" s="83">
        <f>IFERROR(B301*$I$4/12,"")</f>
        <v>253.56513770051762</v>
      </c>
      <c r="D301" s="84">
        <f>IFERROR(F301-C301,"")</f>
        <v>1359.0759891531864</v>
      </c>
      <c r="E301" s="83">
        <f>IF(A301&lt;&gt;"",$I$6,"")</f>
        <v>1612.641126853704</v>
      </c>
      <c r="F301" s="84">
        <f>IF(A301&lt;&gt;"",$I$6,"")</f>
        <v>1612.641126853704</v>
      </c>
      <c r="G301" s="6"/>
      <c r="H301" s="6"/>
      <c r="I301" s="6"/>
    </row>
    <row r="302" spans="1:9" x14ac:dyDescent="0.2">
      <c r="A302" s="7">
        <v>301</v>
      </c>
      <c r="B302" s="83">
        <f>IFERROR(IF(B301-D301&gt;=0.01,B301-D301,""),"")</f>
        <v>88931.180758805596</v>
      </c>
      <c r="C302" s="83">
        <f>IFERROR(B302*$I$4/12,"")</f>
        <v>249.74839929764573</v>
      </c>
      <c r="D302" s="84">
        <f>IFERROR(F302-C302,"")</f>
        <v>1362.8927275560582</v>
      </c>
      <c r="E302" s="83">
        <f>IF(A302&lt;&gt;"",$I$6,"")</f>
        <v>1612.641126853704</v>
      </c>
      <c r="F302" s="84">
        <f>IF(A302&lt;&gt;"",$I$6,"")</f>
        <v>1612.641126853704</v>
      </c>
      <c r="G302" s="6"/>
      <c r="H302" s="6"/>
      <c r="I302" s="6"/>
    </row>
    <row r="303" spans="1:9" x14ac:dyDescent="0.2">
      <c r="A303" s="7">
        <v>302</v>
      </c>
      <c r="B303" s="83">
        <f>IFERROR(IF(B302-D302&gt;=0.01,B302-D302,""),"")</f>
        <v>87568.28803124954</v>
      </c>
      <c r="C303" s="83">
        <f>IFERROR(B303*$I$4/12,"")</f>
        <v>245.92094222109245</v>
      </c>
      <c r="D303" s="84">
        <f>IFERROR(F303-C303,"")</f>
        <v>1366.7201846326116</v>
      </c>
      <c r="E303" s="83">
        <f>IF(A303&lt;&gt;"",$I$6,"")</f>
        <v>1612.641126853704</v>
      </c>
      <c r="F303" s="84">
        <f>IF(A303&lt;&gt;"",$I$6,"")</f>
        <v>1612.641126853704</v>
      </c>
      <c r="G303" s="6"/>
      <c r="H303" s="6"/>
      <c r="I303" s="6"/>
    </row>
    <row r="304" spans="1:9" x14ac:dyDescent="0.2">
      <c r="A304" s="7">
        <v>303</v>
      </c>
      <c r="B304" s="83">
        <f>IFERROR(IF(B303-D303&gt;=0.01,B303-D303,""),"")</f>
        <v>86201.567846616934</v>
      </c>
      <c r="C304" s="83">
        <f>IFERROR(B304*$I$4/12,"")</f>
        <v>242.08273636924923</v>
      </c>
      <c r="D304" s="84">
        <f>IFERROR(F304-C304,"")</f>
        <v>1370.5583904844548</v>
      </c>
      <c r="E304" s="83">
        <f>IF(A304&lt;&gt;"",$I$6,"")</f>
        <v>1612.641126853704</v>
      </c>
      <c r="F304" s="84">
        <f>IF(A304&lt;&gt;"",$I$6,"")</f>
        <v>1612.641126853704</v>
      </c>
      <c r="G304" s="6"/>
      <c r="H304" s="6"/>
      <c r="I304" s="6"/>
    </row>
    <row r="305" spans="1:9" x14ac:dyDescent="0.2">
      <c r="A305" s="7">
        <v>304</v>
      </c>
      <c r="B305" s="83">
        <f>IFERROR(IF(B304-D304&gt;=0.01,B304-D304,""),"")</f>
        <v>84831.00945613248</v>
      </c>
      <c r="C305" s="83">
        <f>IFERROR(B305*$I$4/12,"")</f>
        <v>238.23375155597205</v>
      </c>
      <c r="D305" s="84">
        <f>IFERROR(F305-C305,"")</f>
        <v>1374.407375297732</v>
      </c>
      <c r="E305" s="83">
        <f>IF(A305&lt;&gt;"",$I$6,"")</f>
        <v>1612.641126853704</v>
      </c>
      <c r="F305" s="84">
        <f>IF(A305&lt;&gt;"",$I$6,"")</f>
        <v>1612.641126853704</v>
      </c>
      <c r="G305" s="6"/>
      <c r="H305" s="6"/>
      <c r="I305" s="6"/>
    </row>
    <row r="306" spans="1:9" x14ac:dyDescent="0.2">
      <c r="A306" s="7">
        <v>305</v>
      </c>
      <c r="B306" s="83">
        <f>IFERROR(IF(B305-D305&gt;=0.01,B305-D305,""),"")</f>
        <v>83456.602080834753</v>
      </c>
      <c r="C306" s="83">
        <f>IFERROR(B306*$I$4/12,"")</f>
        <v>234.3739575103443</v>
      </c>
      <c r="D306" s="84">
        <f>IFERROR(F306-C306,"")</f>
        <v>1378.2671693433597</v>
      </c>
      <c r="E306" s="83">
        <f>IF(A306&lt;&gt;"",$I$6,"")</f>
        <v>1612.641126853704</v>
      </c>
      <c r="F306" s="84">
        <f>IF(A306&lt;&gt;"",$I$6,"")</f>
        <v>1612.641126853704</v>
      </c>
      <c r="G306" s="6"/>
      <c r="H306" s="6"/>
      <c r="I306" s="6"/>
    </row>
    <row r="307" spans="1:9" x14ac:dyDescent="0.2">
      <c r="A307" s="7">
        <v>306</v>
      </c>
      <c r="B307" s="83">
        <f>IFERROR(IF(B306-D306&gt;=0.01,B306-D306,""),"")</f>
        <v>82078.334911491387</v>
      </c>
      <c r="C307" s="83">
        <f>IFERROR(B307*$I$4/12,"")</f>
        <v>230.50332387643832</v>
      </c>
      <c r="D307" s="84">
        <f>IFERROR(F307-C307,"")</f>
        <v>1382.1378029772657</v>
      </c>
      <c r="E307" s="83">
        <f>IF(A307&lt;&gt;"",$I$6,"")</f>
        <v>1612.641126853704</v>
      </c>
      <c r="F307" s="84">
        <f>IF(A307&lt;&gt;"",$I$6,"")</f>
        <v>1612.641126853704</v>
      </c>
      <c r="G307" s="6"/>
      <c r="H307" s="6"/>
      <c r="I307" s="6"/>
    </row>
    <row r="308" spans="1:9" x14ac:dyDescent="0.2">
      <c r="A308" s="7">
        <v>307</v>
      </c>
      <c r="B308" s="83">
        <f>IFERROR(IF(B307-D307&gt;=0.01,B307-D307,""),"")</f>
        <v>80696.197108514127</v>
      </c>
      <c r="C308" s="83">
        <f>IFERROR(B308*$I$4/12,"")</f>
        <v>226.62182021307717</v>
      </c>
      <c r="D308" s="84">
        <f>IFERROR(F308-C308,"")</f>
        <v>1386.0193066406268</v>
      </c>
      <c r="E308" s="83">
        <f>IF(A308&lt;&gt;"",$I$6,"")</f>
        <v>1612.641126853704</v>
      </c>
      <c r="F308" s="84">
        <f>IF(A308&lt;&gt;"",$I$6,"")</f>
        <v>1612.641126853704</v>
      </c>
      <c r="G308" s="6"/>
      <c r="H308" s="6"/>
      <c r="I308" s="6"/>
    </row>
    <row r="309" spans="1:9" x14ac:dyDescent="0.2">
      <c r="A309" s="7">
        <v>308</v>
      </c>
      <c r="B309" s="83">
        <f>IFERROR(IF(B308-D308&gt;=0.01,B308-D308,""),"")</f>
        <v>79310.177801873506</v>
      </c>
      <c r="C309" s="83">
        <f>IFERROR(B309*$I$4/12,"")</f>
        <v>222.72941599359478</v>
      </c>
      <c r="D309" s="84">
        <f>IFERROR(F309-C309,"")</f>
        <v>1389.9117108601092</v>
      </c>
      <c r="E309" s="83">
        <f>IF(A309&lt;&gt;"",$I$6,"")</f>
        <v>1612.641126853704</v>
      </c>
      <c r="F309" s="84">
        <f>IF(A309&lt;&gt;"",$I$6,"")</f>
        <v>1612.641126853704</v>
      </c>
      <c r="G309" s="6"/>
      <c r="H309" s="6"/>
      <c r="I309" s="6"/>
    </row>
    <row r="310" spans="1:9" x14ac:dyDescent="0.2">
      <c r="A310" s="7">
        <v>309</v>
      </c>
      <c r="B310" s="83">
        <f>IFERROR(IF(B309-D309&gt;=0.01,B309-D309,""),"")</f>
        <v>77920.2660910134</v>
      </c>
      <c r="C310" s="83">
        <f>IFERROR(B310*$I$4/12,"")</f>
        <v>218.82608060559596</v>
      </c>
      <c r="D310" s="84">
        <f>IFERROR(F310-C310,"")</f>
        <v>1393.815046248108</v>
      </c>
      <c r="E310" s="83">
        <f>IF(A310&lt;&gt;"",$I$6,"")</f>
        <v>1612.641126853704</v>
      </c>
      <c r="F310" s="84">
        <f>IF(A310&lt;&gt;"",$I$6,"")</f>
        <v>1612.641126853704</v>
      </c>
      <c r="G310" s="6"/>
      <c r="H310" s="6"/>
      <c r="I310" s="6"/>
    </row>
    <row r="311" spans="1:9" x14ac:dyDescent="0.2">
      <c r="A311" s="7">
        <v>310</v>
      </c>
      <c r="B311" s="83">
        <f>IFERROR(IF(B310-D310&gt;=0.01,B310-D310,""),"")</f>
        <v>76526.451044765286</v>
      </c>
      <c r="C311" s="83">
        <f>IFERROR(B311*$I$4/12,"")</f>
        <v>214.91178335071584</v>
      </c>
      <c r="D311" s="84">
        <f>IFERROR(F311-C311,"")</f>
        <v>1397.7293435029883</v>
      </c>
      <c r="E311" s="83">
        <f>IF(A311&lt;&gt;"",$I$6,"")</f>
        <v>1612.641126853704</v>
      </c>
      <c r="F311" s="84">
        <f>IF(A311&lt;&gt;"",$I$6,"")</f>
        <v>1612.641126853704</v>
      </c>
      <c r="G311" s="6"/>
      <c r="H311" s="6"/>
      <c r="I311" s="6"/>
    </row>
    <row r="312" spans="1:9" x14ac:dyDescent="0.2">
      <c r="A312" s="7">
        <v>311</v>
      </c>
      <c r="B312" s="83">
        <f>IFERROR(IF(B311-D311&gt;=0.01,B311-D311,""),"")</f>
        <v>75128.7217012623</v>
      </c>
      <c r="C312" s="83">
        <f>IFERROR(B312*$I$4/12,"")</f>
        <v>210.98649344437831</v>
      </c>
      <c r="D312" s="84">
        <f>IFERROR(F312-C312,"")</f>
        <v>1401.6546334093257</v>
      </c>
      <c r="E312" s="83">
        <f>IF(A312&lt;&gt;"",$I$6,"")</f>
        <v>1612.641126853704</v>
      </c>
      <c r="F312" s="84">
        <f>IF(A312&lt;&gt;"",$I$6,"")</f>
        <v>1612.641126853704</v>
      </c>
      <c r="G312" s="6"/>
      <c r="H312" s="6"/>
      <c r="I312" s="6"/>
    </row>
    <row r="313" spans="1:9" x14ac:dyDescent="0.2">
      <c r="A313" s="7">
        <v>312</v>
      </c>
      <c r="B313" s="83">
        <f>IFERROR(IF(B312-D312&gt;=0.01,B312-D312,""),"")</f>
        <v>73727.067067852971</v>
      </c>
      <c r="C313" s="83">
        <f>IFERROR(B313*$I$4/12,"")</f>
        <v>207.05018001555376</v>
      </c>
      <c r="D313" s="84">
        <f>IFERROR(F313-C313,"")</f>
        <v>1405.5909468381503</v>
      </c>
      <c r="E313" s="83">
        <f>IF(A313&lt;&gt;"",$I$6,"")</f>
        <v>1612.641126853704</v>
      </c>
      <c r="F313" s="84">
        <f>IF(A313&lt;&gt;"",$I$6,"")</f>
        <v>1612.641126853704</v>
      </c>
      <c r="G313" s="6"/>
      <c r="H313" s="6"/>
      <c r="I313" s="6"/>
    </row>
    <row r="314" spans="1:9" x14ac:dyDescent="0.2">
      <c r="A314" s="7">
        <v>313</v>
      </c>
      <c r="B314" s="83">
        <f>IFERROR(IF(B313-D313&gt;=0.01,B313-D313,""),"")</f>
        <v>72321.476121014828</v>
      </c>
      <c r="C314" s="83">
        <f>IFERROR(B314*$I$4/12,"")</f>
        <v>203.10281210651667</v>
      </c>
      <c r="D314" s="84">
        <f>IFERROR(F314-C314,"")</f>
        <v>1409.5383147471873</v>
      </c>
      <c r="E314" s="83">
        <f>IF(A314&lt;&gt;"",$I$6,"")</f>
        <v>1612.641126853704</v>
      </c>
      <c r="F314" s="84">
        <f>IF(A314&lt;&gt;"",$I$6,"")</f>
        <v>1612.641126853704</v>
      </c>
      <c r="G314" s="6"/>
      <c r="H314" s="6"/>
      <c r="I314" s="6"/>
    </row>
    <row r="315" spans="1:9" x14ac:dyDescent="0.2">
      <c r="A315" s="7">
        <v>314</v>
      </c>
      <c r="B315" s="83">
        <f>IFERROR(IF(B314-D314&gt;=0.01,B314-D314,""),"")</f>
        <v>70911.937806267641</v>
      </c>
      <c r="C315" s="83">
        <f>IFERROR(B315*$I$4/12,"")</f>
        <v>199.14435867260161</v>
      </c>
      <c r="D315" s="84">
        <f>IFERROR(F315-C315,"")</f>
        <v>1413.4967681811024</v>
      </c>
      <c r="E315" s="83">
        <f>IF(A315&lt;&gt;"",$I$6,"")</f>
        <v>1612.641126853704</v>
      </c>
      <c r="F315" s="84">
        <f>IF(A315&lt;&gt;"",$I$6,"")</f>
        <v>1612.641126853704</v>
      </c>
      <c r="G315" s="6"/>
      <c r="H315" s="6"/>
      <c r="I315" s="6"/>
    </row>
    <row r="316" spans="1:9" x14ac:dyDescent="0.2">
      <c r="A316" s="7">
        <v>315</v>
      </c>
      <c r="B316" s="83">
        <f>IFERROR(IF(B315-D315&gt;=0.01,B315-D315,""),"")</f>
        <v>69498.441038086545</v>
      </c>
      <c r="C316" s="83">
        <f>IFERROR(B316*$I$4/12,"")</f>
        <v>195.17478858195975</v>
      </c>
      <c r="D316" s="84">
        <f>IFERROR(F316-C316,"")</f>
        <v>1417.4663382717442</v>
      </c>
      <c r="E316" s="83">
        <f>IF(A316&lt;&gt;"",$I$6,"")</f>
        <v>1612.641126853704</v>
      </c>
      <c r="F316" s="84">
        <f>IF(A316&lt;&gt;"",$I$6,"")</f>
        <v>1612.641126853704</v>
      </c>
      <c r="G316" s="6"/>
      <c r="H316" s="6"/>
      <c r="I316" s="6"/>
    </row>
    <row r="317" spans="1:9" x14ac:dyDescent="0.2">
      <c r="A317" s="7">
        <v>316</v>
      </c>
      <c r="B317" s="83">
        <f>IFERROR(IF(B316-D316&gt;=0.01,B316-D316,""),"")</f>
        <v>68080.974699814804</v>
      </c>
      <c r="C317" s="83">
        <f>IFERROR(B317*$I$4/12,"")</f>
        <v>191.19407061531322</v>
      </c>
      <c r="D317" s="84">
        <f>IFERROR(F317-C317,"")</f>
        <v>1421.4470562383908</v>
      </c>
      <c r="E317" s="83">
        <f>IF(A317&lt;&gt;"",$I$6,"")</f>
        <v>1612.641126853704</v>
      </c>
      <c r="F317" s="84">
        <f>IF(A317&lt;&gt;"",$I$6,"")</f>
        <v>1612.641126853704</v>
      </c>
      <c r="G317" s="6"/>
      <c r="H317" s="6"/>
      <c r="I317" s="6"/>
    </row>
    <row r="318" spans="1:9" x14ac:dyDescent="0.2">
      <c r="A318" s="7">
        <v>317</v>
      </c>
      <c r="B318" s="83">
        <f>IFERROR(IF(B317-D317&gt;=0.01,B317-D317,""),"")</f>
        <v>66659.52764357641</v>
      </c>
      <c r="C318" s="83">
        <f>IFERROR(B318*$I$4/12,"")</f>
        <v>187.20217346571042</v>
      </c>
      <c r="D318" s="84">
        <f>IFERROR(F318-C318,"")</f>
        <v>1425.4389533879935</v>
      </c>
      <c r="E318" s="83">
        <f>IF(A318&lt;&gt;"",$I$6,"")</f>
        <v>1612.641126853704</v>
      </c>
      <c r="F318" s="84">
        <f>IF(A318&lt;&gt;"",$I$6,"")</f>
        <v>1612.641126853704</v>
      </c>
      <c r="G318" s="6"/>
      <c r="H318" s="6"/>
      <c r="I318" s="6"/>
    </row>
    <row r="319" spans="1:9" x14ac:dyDescent="0.2">
      <c r="A319" s="7">
        <v>318</v>
      </c>
      <c r="B319" s="83">
        <f>IFERROR(IF(B318-D318&gt;=0.01,B318-D318,""),"")</f>
        <v>65234.088690188415</v>
      </c>
      <c r="C319" s="83">
        <f>IFERROR(B319*$I$4/12,"")</f>
        <v>183.19906573827913</v>
      </c>
      <c r="D319" s="84">
        <f>IFERROR(F319-C319,"")</f>
        <v>1429.4420611154248</v>
      </c>
      <c r="E319" s="83">
        <f>IF(A319&lt;&gt;"",$I$6,"")</f>
        <v>1612.641126853704</v>
      </c>
      <c r="F319" s="84">
        <f>IF(A319&lt;&gt;"",$I$6,"")</f>
        <v>1612.641126853704</v>
      </c>
      <c r="G319" s="6"/>
      <c r="H319" s="6"/>
      <c r="I319" s="6"/>
    </row>
    <row r="320" spans="1:9" x14ac:dyDescent="0.2">
      <c r="A320" s="7">
        <v>319</v>
      </c>
      <c r="B320" s="83">
        <f>IFERROR(IF(B319-D319&gt;=0.01,B319-D319,""),"")</f>
        <v>63804.646629072988</v>
      </c>
      <c r="C320" s="83">
        <f>IFERROR(B320*$I$4/12,"")</f>
        <v>179.18471594997996</v>
      </c>
      <c r="D320" s="84">
        <f>IFERROR(F320-C320,"")</f>
        <v>1433.456410903724</v>
      </c>
      <c r="E320" s="83">
        <f>IF(A320&lt;&gt;"",$I$6,"")</f>
        <v>1612.641126853704</v>
      </c>
      <c r="F320" s="84">
        <f>IF(A320&lt;&gt;"",$I$6,"")</f>
        <v>1612.641126853704</v>
      </c>
      <c r="G320" s="6"/>
      <c r="H320" s="6"/>
      <c r="I320" s="6"/>
    </row>
    <row r="321" spans="1:9" x14ac:dyDescent="0.2">
      <c r="A321" s="7">
        <v>320</v>
      </c>
      <c r="B321" s="83">
        <f>IFERROR(IF(B320-D320&gt;=0.01,B320-D320,""),"")</f>
        <v>62371.190218169264</v>
      </c>
      <c r="C321" s="83">
        <f>IFERROR(B321*$I$4/12,"")</f>
        <v>175.15909252935867</v>
      </c>
      <c r="D321" s="84">
        <f>IFERROR(F321-C321,"")</f>
        <v>1437.4820343243452</v>
      </c>
      <c r="E321" s="83">
        <f>IF(A321&lt;&gt;"",$I$6,"")</f>
        <v>1612.641126853704</v>
      </c>
      <c r="F321" s="84">
        <f>IF(A321&lt;&gt;"",$I$6,"")</f>
        <v>1612.641126853704</v>
      </c>
      <c r="G321" s="6"/>
      <c r="H321" s="6"/>
      <c r="I321" s="6"/>
    </row>
    <row r="322" spans="1:9" x14ac:dyDescent="0.2">
      <c r="A322" s="7">
        <v>321</v>
      </c>
      <c r="B322" s="83">
        <f>IFERROR(IF(B321-D321&gt;=0.01,B321-D321,""),"")</f>
        <v>60933.708183844916</v>
      </c>
      <c r="C322" s="83">
        <f>IFERROR(B322*$I$4/12,"")</f>
        <v>171.12216381629779</v>
      </c>
      <c r="D322" s="84">
        <f>IFERROR(F322-C322,"")</f>
        <v>1441.5189630374061</v>
      </c>
      <c r="E322" s="83">
        <f>IF(A322&lt;&gt;"",$I$6,"")</f>
        <v>1612.641126853704</v>
      </c>
      <c r="F322" s="84">
        <f>IF(A322&lt;&gt;"",$I$6,"")</f>
        <v>1612.641126853704</v>
      </c>
      <c r="G322" s="6"/>
      <c r="H322" s="6"/>
      <c r="I322" s="6"/>
    </row>
    <row r="323" spans="1:9" x14ac:dyDescent="0.2">
      <c r="A323" s="7">
        <v>322</v>
      </c>
      <c r="B323" s="83">
        <f>IFERROR(IF(B322-D322&gt;=0.01,B322-D322,""),"")</f>
        <v>59492.189220807508</v>
      </c>
      <c r="C323" s="83">
        <f>IFERROR(B323*$I$4/12,"")</f>
        <v>167.07389806176775</v>
      </c>
      <c r="D323" s="84">
        <f>IFERROR(F323-C323,"")</f>
        <v>1445.5672287919363</v>
      </c>
      <c r="E323" s="83">
        <f>IF(A323&lt;&gt;"",$I$6,"")</f>
        <v>1612.641126853704</v>
      </c>
      <c r="F323" s="84">
        <f>IF(A323&lt;&gt;"",$I$6,"")</f>
        <v>1612.641126853704</v>
      </c>
      <c r="G323" s="6"/>
      <c r="H323" s="6"/>
      <c r="I323" s="6"/>
    </row>
    <row r="324" spans="1:9" x14ac:dyDescent="0.2">
      <c r="A324" s="7">
        <v>323</v>
      </c>
      <c r="B324" s="83">
        <f>IFERROR(IF(B323-D323&gt;=0.01,B323-D323,""),"")</f>
        <v>58046.621992015571</v>
      </c>
      <c r="C324" s="83">
        <f>IFERROR(B324*$I$4/12,"")</f>
        <v>163.01426342757705</v>
      </c>
      <c r="D324" s="84">
        <f>IFERROR(F324-C324,"")</f>
        <v>1449.6268634261269</v>
      </c>
      <c r="E324" s="83">
        <f>IF(A324&lt;&gt;"",$I$6,"")</f>
        <v>1612.641126853704</v>
      </c>
      <c r="F324" s="84">
        <f>IF(A324&lt;&gt;"",$I$6,"")</f>
        <v>1612.641126853704</v>
      </c>
      <c r="G324" s="6"/>
      <c r="H324" s="6"/>
      <c r="I324" s="6"/>
    </row>
    <row r="325" spans="1:9" x14ac:dyDescent="0.2">
      <c r="A325" s="7">
        <v>324</v>
      </c>
      <c r="B325" s="83">
        <f>IFERROR(IF(B324-D324&gt;=0.01,B324-D324,""),"")</f>
        <v>56596.995128589442</v>
      </c>
      <c r="C325" s="83">
        <f>IFERROR(B325*$I$4/12,"")</f>
        <v>158.94322798612203</v>
      </c>
      <c r="D325" s="84">
        <f>IFERROR(F325-C325,"")</f>
        <v>1453.6978988675819</v>
      </c>
      <c r="E325" s="83">
        <f>IF(A325&lt;&gt;"",$I$6,"")</f>
        <v>1612.641126853704</v>
      </c>
      <c r="F325" s="84">
        <f>IF(A325&lt;&gt;"",$I$6,"")</f>
        <v>1612.641126853704</v>
      </c>
      <c r="G325" s="6"/>
      <c r="H325" s="6"/>
      <c r="I325" s="6"/>
    </row>
    <row r="326" spans="1:9" x14ac:dyDescent="0.2">
      <c r="A326" s="7">
        <v>325</v>
      </c>
      <c r="B326" s="83">
        <f>IFERROR(IF(B325-D325&gt;=0.01,B325-D325,""),"")</f>
        <v>55143.297229721858</v>
      </c>
      <c r="C326" s="83">
        <f>IFERROR(B326*$I$4/12,"")</f>
        <v>154.86075972013555</v>
      </c>
      <c r="D326" s="84">
        <f>IFERROR(F326-C326,"")</f>
        <v>1457.7803671335685</v>
      </c>
      <c r="E326" s="83">
        <f>IF(A326&lt;&gt;"",$I$6,"")</f>
        <v>1612.641126853704</v>
      </c>
      <c r="F326" s="84">
        <f>IF(A326&lt;&gt;"",$I$6,"")</f>
        <v>1612.641126853704</v>
      </c>
      <c r="G326" s="6"/>
      <c r="H326" s="6"/>
      <c r="I326" s="6"/>
    </row>
    <row r="327" spans="1:9" x14ac:dyDescent="0.2">
      <c r="A327" s="7">
        <v>326</v>
      </c>
      <c r="B327" s="83">
        <f>IFERROR(IF(B326-D326&gt;=0.01,B326-D326,""),"")</f>
        <v>53685.516862588287</v>
      </c>
      <c r="C327" s="83">
        <f>IFERROR(B327*$I$4/12,"")</f>
        <v>150.76682652243545</v>
      </c>
      <c r="D327" s="84">
        <f>IFERROR(F327-C327,"")</f>
        <v>1461.8743003312686</v>
      </c>
      <c r="E327" s="83">
        <f>IF(A327&lt;&gt;"",$I$6,"")</f>
        <v>1612.641126853704</v>
      </c>
      <c r="F327" s="84">
        <f>IF(A327&lt;&gt;"",$I$6,"")</f>
        <v>1612.641126853704</v>
      </c>
      <c r="G327" s="6"/>
      <c r="H327" s="6"/>
      <c r="I327" s="6"/>
    </row>
    <row r="328" spans="1:9" x14ac:dyDescent="0.2">
      <c r="A328" s="7">
        <v>327</v>
      </c>
      <c r="B328" s="83">
        <f>IFERROR(IF(B327-D327&gt;=0.01,B327-D327,""),"")</f>
        <v>52223.642562257017</v>
      </c>
      <c r="C328" s="83">
        <f>IFERROR(B328*$I$4/12,"")</f>
        <v>146.66139619567178</v>
      </c>
      <c r="D328" s="84">
        <f>IFERROR(F328-C328,"")</f>
        <v>1465.9797306580322</v>
      </c>
      <c r="E328" s="83">
        <f>IF(A328&lt;&gt;"",$I$6,"")</f>
        <v>1612.641126853704</v>
      </c>
      <c r="F328" s="84">
        <f>IF(A328&lt;&gt;"",$I$6,"")</f>
        <v>1612.641126853704</v>
      </c>
      <c r="G328" s="6"/>
      <c r="H328" s="6"/>
      <c r="I328" s="6"/>
    </row>
    <row r="329" spans="1:9" x14ac:dyDescent="0.2">
      <c r="A329" s="7">
        <v>328</v>
      </c>
      <c r="B329" s="83">
        <f>IFERROR(IF(B328-D328&gt;=0.01,B328-D328,""),"")</f>
        <v>50757.662831598987</v>
      </c>
      <c r="C329" s="83">
        <f>IFERROR(B329*$I$4/12,"")</f>
        <v>142.54443645207382</v>
      </c>
      <c r="D329" s="84">
        <f>IFERROR(F329-C329,"")</f>
        <v>1470.0966904016302</v>
      </c>
      <c r="E329" s="83">
        <f>IF(A329&lt;&gt;"",$I$6,"")</f>
        <v>1612.641126853704</v>
      </c>
      <c r="F329" s="84">
        <f>IF(A329&lt;&gt;"",$I$6,"")</f>
        <v>1612.641126853704</v>
      </c>
      <c r="G329" s="6"/>
      <c r="H329" s="6"/>
      <c r="I329" s="6"/>
    </row>
    <row r="330" spans="1:9" x14ac:dyDescent="0.2">
      <c r="A330" s="7">
        <v>329</v>
      </c>
      <c r="B330" s="83">
        <f>IFERROR(IF(B329-D329&gt;=0.01,B329-D329,""),"")</f>
        <v>49287.566141197356</v>
      </c>
      <c r="C330" s="83">
        <f>IFERROR(B330*$I$4/12,"")</f>
        <v>138.41591491319591</v>
      </c>
      <c r="D330" s="84">
        <f>IFERROR(F330-C330,"")</f>
        <v>1474.2252119405082</v>
      </c>
      <c r="E330" s="83">
        <f>IF(A330&lt;&gt;"",$I$6,"")</f>
        <v>1612.641126853704</v>
      </c>
      <c r="F330" s="84">
        <f>IF(A330&lt;&gt;"",$I$6,"")</f>
        <v>1612.641126853704</v>
      </c>
      <c r="G330" s="6"/>
      <c r="H330" s="6"/>
      <c r="I330" s="6"/>
    </row>
    <row r="331" spans="1:9" x14ac:dyDescent="0.2">
      <c r="A331" s="7">
        <v>330</v>
      </c>
      <c r="B331" s="83">
        <f>IFERROR(IF(B330-D330&gt;=0.01,B330-D330,""),"")</f>
        <v>47813.340929256847</v>
      </c>
      <c r="C331" s="83">
        <f>IFERROR(B331*$I$4/12,"")</f>
        <v>134.27579910966298</v>
      </c>
      <c r="D331" s="84">
        <f>IFERROR(F331-C331,"")</f>
        <v>1478.365327744041</v>
      </c>
      <c r="E331" s="83">
        <f>IF(A331&lt;&gt;"",$I$6,"")</f>
        <v>1612.641126853704</v>
      </c>
      <c r="F331" s="84">
        <f>IF(A331&lt;&gt;"",$I$6,"")</f>
        <v>1612.641126853704</v>
      </c>
      <c r="G331" s="6"/>
      <c r="H331" s="6"/>
      <c r="I331" s="6"/>
    </row>
    <row r="332" spans="1:9" x14ac:dyDescent="0.2">
      <c r="A332" s="7">
        <v>331</v>
      </c>
      <c r="B332" s="83">
        <f>IFERROR(IF(B331-D331&gt;=0.01,B331-D331,""),"")</f>
        <v>46334.975601512808</v>
      </c>
      <c r="C332" s="83">
        <f>IFERROR(B332*$I$4/12,"")</f>
        <v>130.12405648091513</v>
      </c>
      <c r="D332" s="84">
        <f>IFERROR(F332-C332,"")</f>
        <v>1482.5170703727888</v>
      </c>
      <c r="E332" s="83">
        <f>IF(A332&lt;&gt;"",$I$6,"")</f>
        <v>1612.641126853704</v>
      </c>
      <c r="F332" s="84">
        <f>IF(A332&lt;&gt;"",$I$6,"")</f>
        <v>1612.641126853704</v>
      </c>
      <c r="G332" s="6"/>
      <c r="H332" s="6"/>
      <c r="I332" s="6"/>
    </row>
    <row r="333" spans="1:9" x14ac:dyDescent="0.2">
      <c r="A333" s="7">
        <v>332</v>
      </c>
      <c r="B333" s="83">
        <f>IFERROR(IF(B332-D332&gt;=0.01,B332-D332,""),"")</f>
        <v>44852.458531140022</v>
      </c>
      <c r="C333" s="83">
        <f>IFERROR(B333*$I$4/12,"")</f>
        <v>125.96065437495156</v>
      </c>
      <c r="D333" s="84">
        <f>IFERROR(F333-C333,"")</f>
        <v>1486.6804724787526</v>
      </c>
      <c r="E333" s="83">
        <f>IF(A333&lt;&gt;"",$I$6,"")</f>
        <v>1612.641126853704</v>
      </c>
      <c r="F333" s="84">
        <f>IF(A333&lt;&gt;"",$I$6,"")</f>
        <v>1612.641126853704</v>
      </c>
      <c r="G333" s="6"/>
      <c r="H333" s="6"/>
      <c r="I333" s="6"/>
    </row>
    <row r="334" spans="1:9" x14ac:dyDescent="0.2">
      <c r="A334" s="7">
        <v>333</v>
      </c>
      <c r="B334" s="83">
        <f>IFERROR(IF(B333-D333&gt;=0.01,B333-D333,""),"")</f>
        <v>43365.778058661272</v>
      </c>
      <c r="C334" s="83">
        <f>IFERROR(B334*$I$4/12,"")</f>
        <v>121.78556004807375</v>
      </c>
      <c r="D334" s="84">
        <f>IFERROR(F334-C334,"")</f>
        <v>1490.8555668056304</v>
      </c>
      <c r="E334" s="83">
        <f>IF(A334&lt;&gt;"",$I$6,"")</f>
        <v>1612.641126853704</v>
      </c>
      <c r="F334" s="84">
        <f>IF(A334&lt;&gt;"",$I$6,"")</f>
        <v>1612.641126853704</v>
      </c>
      <c r="G334" s="6"/>
      <c r="H334" s="6"/>
      <c r="I334" s="6"/>
    </row>
    <row r="335" spans="1:9" x14ac:dyDescent="0.2">
      <c r="A335" s="7">
        <v>334</v>
      </c>
      <c r="B335" s="83">
        <f>IFERROR(IF(B334-D334&gt;=0.01,B334-D334,""),"")</f>
        <v>41874.922491855643</v>
      </c>
      <c r="C335" s="83">
        <f>IFERROR(B335*$I$4/12,"")</f>
        <v>117.59874066462794</v>
      </c>
      <c r="D335" s="84">
        <f>IFERROR(F335-C335,"")</f>
        <v>1495.0423861890761</v>
      </c>
      <c r="E335" s="83">
        <f>IF(A335&lt;&gt;"",$I$6,"")</f>
        <v>1612.641126853704</v>
      </c>
      <c r="F335" s="84">
        <f>IF(A335&lt;&gt;"",$I$6,"")</f>
        <v>1612.641126853704</v>
      </c>
      <c r="G335" s="6"/>
      <c r="H335" s="6"/>
      <c r="I335" s="6"/>
    </row>
    <row r="336" spans="1:9" x14ac:dyDescent="0.2">
      <c r="A336" s="7">
        <v>335</v>
      </c>
      <c r="B336" s="83">
        <f>IFERROR(IF(B335-D335&gt;=0.01,B335-D335,""),"")</f>
        <v>40379.880105666569</v>
      </c>
      <c r="C336" s="83">
        <f>IFERROR(B336*$I$4/12,"")</f>
        <v>113.40016329674695</v>
      </c>
      <c r="D336" s="84">
        <f>IFERROR(F336-C336,"")</f>
        <v>1499.240963556957</v>
      </c>
      <c r="E336" s="83">
        <f>IF(A336&lt;&gt;"",$I$6,"")</f>
        <v>1612.641126853704</v>
      </c>
      <c r="F336" s="84">
        <f>IF(A336&lt;&gt;"",$I$6,"")</f>
        <v>1612.641126853704</v>
      </c>
      <c r="G336" s="6"/>
      <c r="H336" s="6"/>
      <c r="I336" s="6"/>
    </row>
    <row r="337" spans="1:9" x14ac:dyDescent="0.2">
      <c r="A337" s="7">
        <v>336</v>
      </c>
      <c r="B337" s="83">
        <f>IFERROR(IF(B336-D336&gt;=0.01,B336-D336,""),"")</f>
        <v>38880.639142109612</v>
      </c>
      <c r="C337" s="83">
        <f>IFERROR(B337*$I$4/12,"")</f>
        <v>109.18979492409117</v>
      </c>
      <c r="D337" s="84">
        <f>IFERROR(F337-C337,"")</f>
        <v>1503.4513319296129</v>
      </c>
      <c r="E337" s="83">
        <f>IF(A337&lt;&gt;"",$I$6,"")</f>
        <v>1612.641126853704</v>
      </c>
      <c r="F337" s="84">
        <f>IF(A337&lt;&gt;"",$I$6,"")</f>
        <v>1612.641126853704</v>
      </c>
      <c r="G337" s="6"/>
      <c r="H337" s="6"/>
      <c r="I337" s="6"/>
    </row>
    <row r="338" spans="1:9" x14ac:dyDescent="0.2">
      <c r="A338" s="7">
        <v>337</v>
      </c>
      <c r="B338" s="83">
        <f>IFERROR(IF(B337-D337&gt;=0.01,B337-D337,""),"")</f>
        <v>37377.187810179996</v>
      </c>
      <c r="C338" s="83">
        <f>IFERROR(B338*$I$4/12,"")</f>
        <v>104.96760243358882</v>
      </c>
      <c r="D338" s="84">
        <f>IFERROR(F338-C338,"")</f>
        <v>1507.6735244201152</v>
      </c>
      <c r="E338" s="83">
        <f>IF(A338&lt;&gt;"",$I$6,"")</f>
        <v>1612.641126853704</v>
      </c>
      <c r="F338" s="84">
        <f>IF(A338&lt;&gt;"",$I$6,"")</f>
        <v>1612.641126853704</v>
      </c>
      <c r="G338" s="6"/>
      <c r="H338" s="6"/>
      <c r="I338" s="6"/>
    </row>
    <row r="339" spans="1:9" x14ac:dyDescent="0.2">
      <c r="A339" s="7">
        <v>338</v>
      </c>
      <c r="B339" s="83">
        <f>IFERROR(IF(B338-D338&gt;=0.01,B338-D338,""),"")</f>
        <v>35869.514285759884</v>
      </c>
      <c r="C339" s="83">
        <f>IFERROR(B339*$I$4/12,"")</f>
        <v>100.73355261917567</v>
      </c>
      <c r="D339" s="84">
        <f>IFERROR(F339-C339,"")</f>
        <v>1511.9075742345283</v>
      </c>
      <c r="E339" s="83">
        <f>IF(A339&lt;&gt;"",$I$6,"")</f>
        <v>1612.641126853704</v>
      </c>
      <c r="F339" s="84">
        <f>IF(A339&lt;&gt;"",$I$6,"")</f>
        <v>1612.641126853704</v>
      </c>
      <c r="G339" s="6"/>
      <c r="H339" s="6"/>
      <c r="I339" s="6"/>
    </row>
    <row r="340" spans="1:9" x14ac:dyDescent="0.2">
      <c r="A340" s="7">
        <v>339</v>
      </c>
      <c r="B340" s="83">
        <f>IFERROR(IF(B339-D339&gt;=0.01,B339-D339,""),"")</f>
        <v>34357.606711525354</v>
      </c>
      <c r="C340" s="83">
        <f>IFERROR(B340*$I$4/12,"")</f>
        <v>96.487612181533692</v>
      </c>
      <c r="D340" s="84">
        <f>IFERROR(F340-C340,"")</f>
        <v>1516.1535146721703</v>
      </c>
      <c r="E340" s="83">
        <f>IF(A340&lt;&gt;"",$I$6,"")</f>
        <v>1612.641126853704</v>
      </c>
      <c r="F340" s="84">
        <f>IF(A340&lt;&gt;"",$I$6,"")</f>
        <v>1612.641126853704</v>
      </c>
      <c r="G340" s="6"/>
      <c r="H340" s="6"/>
      <c r="I340" s="6"/>
    </row>
    <row r="341" spans="1:9" x14ac:dyDescent="0.2">
      <c r="A341" s="7">
        <v>340</v>
      </c>
      <c r="B341" s="83">
        <f>IFERROR(IF(B340-D340&gt;=0.01,B340-D340,""),"")</f>
        <v>32841.453196853181</v>
      </c>
      <c r="C341" s="83">
        <f>IFERROR(B341*$I$4/12,"")</f>
        <v>92.229747727829348</v>
      </c>
      <c r="D341" s="84">
        <f>IFERROR(F341-C341,"")</f>
        <v>1520.4113791258746</v>
      </c>
      <c r="E341" s="83">
        <f>IF(A341&lt;&gt;"",$I$6,"")</f>
        <v>1612.641126853704</v>
      </c>
      <c r="F341" s="84">
        <f>IF(A341&lt;&gt;"",$I$6,"")</f>
        <v>1612.641126853704</v>
      </c>
      <c r="G341" s="6"/>
      <c r="H341" s="6"/>
      <c r="I341" s="6"/>
    </row>
    <row r="342" spans="1:9" x14ac:dyDescent="0.2">
      <c r="A342" s="7">
        <v>341</v>
      </c>
      <c r="B342" s="83">
        <f>IFERROR(IF(B341-D341&gt;=0.01,B341-D341,""),"")</f>
        <v>31321.041817727306</v>
      </c>
      <c r="C342" s="83">
        <f>IFERROR(B342*$I$4/12,"")</f>
        <v>87.959925771450855</v>
      </c>
      <c r="D342" s="84">
        <f>IFERROR(F342-C342,"")</f>
        <v>1524.6812010822532</v>
      </c>
      <c r="E342" s="83">
        <f>IF(A342&lt;&gt;"",$I$6,"")</f>
        <v>1612.641126853704</v>
      </c>
      <c r="F342" s="84">
        <f>IF(A342&lt;&gt;"",$I$6,"")</f>
        <v>1612.641126853704</v>
      </c>
      <c r="G342" s="6"/>
      <c r="H342" s="6"/>
      <c r="I342" s="6"/>
    </row>
    <row r="343" spans="1:9" x14ac:dyDescent="0.2">
      <c r="A343" s="7">
        <v>342</v>
      </c>
      <c r="B343" s="83">
        <f>IFERROR(IF(B342-D342&gt;=0.01,B342-D342,""),"")</f>
        <v>29796.360616645052</v>
      </c>
      <c r="C343" s="83">
        <f>IFERROR(B343*$I$4/12,"")</f>
        <v>83.678112731744861</v>
      </c>
      <c r="D343" s="84">
        <f>IFERROR(F343-C343,"")</f>
        <v>1528.9630141219591</v>
      </c>
      <c r="E343" s="83">
        <f>IF(A343&lt;&gt;"",$I$6,"")</f>
        <v>1612.641126853704</v>
      </c>
      <c r="F343" s="84">
        <f>IF(A343&lt;&gt;"",$I$6,"")</f>
        <v>1612.641126853704</v>
      </c>
      <c r="G343" s="6"/>
      <c r="H343" s="6"/>
      <c r="I343" s="6"/>
    </row>
    <row r="344" spans="1:9" x14ac:dyDescent="0.2">
      <c r="A344" s="7">
        <v>343</v>
      </c>
      <c r="B344" s="83">
        <f>IFERROR(IF(B343-D343&gt;=0.01,B343-D343,""),"")</f>
        <v>28267.397602523091</v>
      </c>
      <c r="C344" s="83">
        <f>IFERROR(B344*$I$4/12,"")</f>
        <v>79.384274933752351</v>
      </c>
      <c r="D344" s="84">
        <f>IFERROR(F344-C344,"")</f>
        <v>1533.2568519199517</v>
      </c>
      <c r="E344" s="83">
        <f>IF(A344&lt;&gt;"",$I$6,"")</f>
        <v>1612.641126853704</v>
      </c>
      <c r="F344" s="84">
        <f>IF(A344&lt;&gt;"",$I$6,"")</f>
        <v>1612.641126853704</v>
      </c>
      <c r="G344" s="6"/>
      <c r="H344" s="6"/>
      <c r="I344" s="6"/>
    </row>
    <row r="345" spans="1:9" x14ac:dyDescent="0.2">
      <c r="A345" s="7">
        <v>344</v>
      </c>
      <c r="B345" s="83">
        <f>IFERROR(IF(B344-D344&gt;=0.01,B344-D344,""),"")</f>
        <v>26734.140750603139</v>
      </c>
      <c r="C345" s="83">
        <f>IFERROR(B345*$I$4/12,"")</f>
        <v>75.078378607943819</v>
      </c>
      <c r="D345" s="84">
        <f>IFERROR(F345-C345,"")</f>
        <v>1537.5627482457603</v>
      </c>
      <c r="E345" s="83">
        <f>IF(A345&lt;&gt;"",$I$6,"")</f>
        <v>1612.641126853704</v>
      </c>
      <c r="F345" s="84">
        <f>IF(A345&lt;&gt;"",$I$6,"")</f>
        <v>1612.641126853704</v>
      </c>
      <c r="G345" s="6"/>
      <c r="H345" s="6"/>
      <c r="I345" s="6"/>
    </row>
    <row r="346" spans="1:9" x14ac:dyDescent="0.2">
      <c r="A346" s="7">
        <v>345</v>
      </c>
      <c r="B346" s="83">
        <f>IFERROR(IF(B345-D345&gt;=0.01,B345-D345,""),"")</f>
        <v>25196.578002357379</v>
      </c>
      <c r="C346" s="83">
        <f>IFERROR(B346*$I$4/12,"")</f>
        <v>70.760389889953643</v>
      </c>
      <c r="D346" s="84">
        <f>IFERROR(F346-C346,"")</f>
        <v>1541.8807369637505</v>
      </c>
      <c r="E346" s="83">
        <f>IF(A346&lt;&gt;"",$I$6,"")</f>
        <v>1612.641126853704</v>
      </c>
      <c r="F346" s="84">
        <f>IF(A346&lt;&gt;"",$I$6,"")</f>
        <v>1612.641126853704</v>
      </c>
      <c r="G346" s="6"/>
      <c r="H346" s="6"/>
      <c r="I346" s="6"/>
    </row>
    <row r="347" spans="1:9" x14ac:dyDescent="0.2">
      <c r="A347" s="7">
        <v>346</v>
      </c>
      <c r="B347" s="83">
        <f>IFERROR(IF(B346-D346&gt;=0.01,B346-D346,""),"")</f>
        <v>23654.697265393628</v>
      </c>
      <c r="C347" s="83">
        <f>IFERROR(B347*$I$4/12,"")</f>
        <v>66.43027482031377</v>
      </c>
      <c r="D347" s="84">
        <f>IFERROR(F347-C347,"")</f>
        <v>1546.2108520333902</v>
      </c>
      <c r="E347" s="83">
        <f>IF(A347&lt;&gt;"",$I$6,"")</f>
        <v>1612.641126853704</v>
      </c>
      <c r="F347" s="84">
        <f>IF(A347&lt;&gt;"",$I$6,"")</f>
        <v>1612.641126853704</v>
      </c>
      <c r="G347" s="6"/>
      <c r="H347" s="6"/>
      <c r="I347" s="6"/>
    </row>
    <row r="348" spans="1:9" x14ac:dyDescent="0.2">
      <c r="A348" s="7">
        <v>347</v>
      </c>
      <c r="B348" s="83">
        <f>IFERROR(IF(B347-D347&gt;=0.01,B347-D347,""),"")</f>
        <v>22108.486413360239</v>
      </c>
      <c r="C348" s="83">
        <f>IFERROR(B348*$I$4/12,"")</f>
        <v>62.08799934418667</v>
      </c>
      <c r="D348" s="84">
        <f>IFERROR(F348-C348,"")</f>
        <v>1550.5531275095173</v>
      </c>
      <c r="E348" s="83">
        <f>IF(A348&lt;&gt;"",$I$6,"")</f>
        <v>1612.641126853704</v>
      </c>
      <c r="F348" s="84">
        <f>IF(A348&lt;&gt;"",$I$6,"")</f>
        <v>1612.641126853704</v>
      </c>
      <c r="G348" s="6"/>
      <c r="H348" s="6"/>
      <c r="I348" s="6"/>
    </row>
    <row r="349" spans="1:9" x14ac:dyDescent="0.2">
      <c r="A349" s="7">
        <v>348</v>
      </c>
      <c r="B349" s="83">
        <f>IFERROR(IF(B348-D348&gt;=0.01,B348-D348,""),"")</f>
        <v>20557.933285850722</v>
      </c>
      <c r="C349" s="83">
        <f>IFERROR(B349*$I$4/12,"")</f>
        <v>57.733529311097442</v>
      </c>
      <c r="D349" s="84">
        <f>IFERROR(F349-C349,"")</f>
        <v>1554.9075975426065</v>
      </c>
      <c r="E349" s="83">
        <f>IF(A349&lt;&gt;"",$I$6,"")</f>
        <v>1612.641126853704</v>
      </c>
      <c r="F349" s="84">
        <f>IF(A349&lt;&gt;"",$I$6,"")</f>
        <v>1612.641126853704</v>
      </c>
      <c r="G349" s="6"/>
      <c r="H349" s="6"/>
      <c r="I349" s="6"/>
    </row>
    <row r="350" spans="1:9" x14ac:dyDescent="0.2">
      <c r="A350" s="7">
        <v>349</v>
      </c>
      <c r="B350" s="83">
        <f>IFERROR(IF(B349-D349&gt;=0.01,B349-D349,""),"")</f>
        <v>19003.025688308117</v>
      </c>
      <c r="C350" s="83">
        <f>IFERROR(B350*$I$4/12,"")</f>
        <v>53.366830474665299</v>
      </c>
      <c r="D350" s="84">
        <f>IFERROR(F350-C350,"")</f>
        <v>1559.2742963790388</v>
      </c>
      <c r="E350" s="83">
        <f>IF(A350&lt;&gt;"",$I$6,"")</f>
        <v>1612.641126853704</v>
      </c>
      <c r="F350" s="84">
        <f>IF(A350&lt;&gt;"",$I$6,"")</f>
        <v>1612.641126853704</v>
      </c>
      <c r="G350" s="6"/>
      <c r="H350" s="6"/>
      <c r="I350" s="6"/>
    </row>
    <row r="351" spans="1:9" x14ac:dyDescent="0.2">
      <c r="A351" s="7">
        <v>350</v>
      </c>
      <c r="B351" s="83">
        <f>IFERROR(IF(B350-D350&gt;=0.01,B350-D350,""),"")</f>
        <v>17443.75139192908</v>
      </c>
      <c r="C351" s="83">
        <f>IFERROR(B351*$I$4/12,"")</f>
        <v>48.987868492334165</v>
      </c>
      <c r="D351" s="84">
        <f>IFERROR(F351-C351,"")</f>
        <v>1563.6532583613698</v>
      </c>
      <c r="E351" s="83">
        <f>IF(A351&lt;&gt;"",$I$6,"")</f>
        <v>1612.641126853704</v>
      </c>
      <c r="F351" s="84">
        <f>IF(A351&lt;&gt;"",$I$6,"")</f>
        <v>1612.641126853704</v>
      </c>
      <c r="G351" s="6"/>
      <c r="H351" s="6"/>
      <c r="I351" s="6"/>
    </row>
    <row r="352" spans="1:9" x14ac:dyDescent="0.2">
      <c r="A352" s="7">
        <v>351</v>
      </c>
      <c r="B352" s="83">
        <f>IFERROR(IF(B351-D351&gt;=0.01,B351-D351,""),"")</f>
        <v>15880.09813356771</v>
      </c>
      <c r="C352" s="83">
        <f>IFERROR(B352*$I$4/12,"")</f>
        <v>44.59660892510265</v>
      </c>
      <c r="D352" s="84">
        <f>IFERROR(F352-C352,"")</f>
        <v>1568.0445179286014</v>
      </c>
      <c r="E352" s="83">
        <f>IF(A352&lt;&gt;"",$I$6,"")</f>
        <v>1612.641126853704</v>
      </c>
      <c r="F352" s="84">
        <f>IF(A352&lt;&gt;"",$I$6,"")</f>
        <v>1612.641126853704</v>
      </c>
      <c r="G352" s="6"/>
      <c r="H352" s="6"/>
      <c r="I352" s="6"/>
    </row>
    <row r="353" spans="1:9" x14ac:dyDescent="0.2">
      <c r="A353" s="7">
        <v>352</v>
      </c>
      <c r="B353" s="83">
        <f>IFERROR(IF(B352-D352&gt;=0.01,B352-D352,""),"")</f>
        <v>14312.053615639108</v>
      </c>
      <c r="C353" s="83">
        <f>IFERROR(B353*$I$4/12,"")</f>
        <v>40.193017237253166</v>
      </c>
      <c r="D353" s="84">
        <f>IFERROR(F353-C353,"")</f>
        <v>1572.4481096164509</v>
      </c>
      <c r="E353" s="83">
        <f>IF(A353&lt;&gt;"",$I$6,"")</f>
        <v>1612.641126853704</v>
      </c>
      <c r="F353" s="84">
        <f>IF(A353&lt;&gt;"",$I$6,"")</f>
        <v>1612.641126853704</v>
      </c>
      <c r="G353" s="6"/>
      <c r="H353" s="6"/>
      <c r="I353" s="6"/>
    </row>
    <row r="354" spans="1:9" x14ac:dyDescent="0.2">
      <c r="A354" s="7">
        <v>353</v>
      </c>
      <c r="B354" s="83">
        <f>IFERROR(IF(B353-D353&gt;=0.01,B353-D353,""),"")</f>
        <v>12739.605506022657</v>
      </c>
      <c r="C354" s="83">
        <f>IFERROR(B354*$I$4/12,"")</f>
        <v>35.777058796080297</v>
      </c>
      <c r="D354" s="84">
        <f>IFERROR(F354-C354,"")</f>
        <v>1576.8640680576236</v>
      </c>
      <c r="E354" s="83">
        <f>IF(A354&lt;&gt;"",$I$6,"")</f>
        <v>1612.641126853704</v>
      </c>
      <c r="F354" s="84">
        <f>IF(A354&lt;&gt;"",$I$6,"")</f>
        <v>1612.641126853704</v>
      </c>
      <c r="G354" s="6"/>
      <c r="H354" s="6"/>
      <c r="I354" s="6"/>
    </row>
    <row r="355" spans="1:9" x14ac:dyDescent="0.2">
      <c r="A355" s="7">
        <v>354</v>
      </c>
      <c r="B355" s="83">
        <f>IFERROR(IF(B354-D354&gt;=0.01,B354-D354,""),"")</f>
        <v>11162.741437965033</v>
      </c>
      <c r="C355" s="83">
        <f>IFERROR(B355*$I$4/12,"")</f>
        <v>31.348698871618467</v>
      </c>
      <c r="D355" s="84">
        <f>IFERROR(F355-C355,"")</f>
        <v>1581.2924279820854</v>
      </c>
      <c r="E355" s="83">
        <f>IF(A355&lt;&gt;"",$I$6,"")</f>
        <v>1612.641126853704</v>
      </c>
      <c r="F355" s="84">
        <f>IF(A355&lt;&gt;"",$I$6,"")</f>
        <v>1612.641126853704</v>
      </c>
      <c r="G355" s="6"/>
      <c r="H355" s="6"/>
      <c r="I355" s="6"/>
    </row>
    <row r="356" spans="1:9" x14ac:dyDescent="0.2">
      <c r="A356" s="7">
        <v>355</v>
      </c>
      <c r="B356" s="83">
        <f>IFERROR(IF(B355-D355&gt;=0.01,B355-D355,""),"")</f>
        <v>9581.4490099829472</v>
      </c>
      <c r="C356" s="83">
        <f>IFERROR(B356*$I$4/12,"")</f>
        <v>26.907902636368778</v>
      </c>
      <c r="D356" s="84">
        <f>IFERROR(F356-C356,"")</f>
        <v>1585.7332242173352</v>
      </c>
      <c r="E356" s="83">
        <f>IF(A356&lt;&gt;"",$I$6,"")</f>
        <v>1612.641126853704</v>
      </c>
      <c r="F356" s="84">
        <f>IF(A356&lt;&gt;"",$I$6,"")</f>
        <v>1612.641126853704</v>
      </c>
      <c r="G356" s="6"/>
      <c r="H356" s="6"/>
      <c r="I356" s="6"/>
    </row>
    <row r="357" spans="1:9" x14ac:dyDescent="0.2">
      <c r="A357" s="7">
        <v>356</v>
      </c>
      <c r="B357" s="83">
        <f>IFERROR(IF(B356-D356&gt;=0.01,B356-D356,""),"")</f>
        <v>7995.7157857656121</v>
      </c>
      <c r="C357" s="83">
        <f>IFERROR(B357*$I$4/12,"")</f>
        <v>22.454635165025095</v>
      </c>
      <c r="D357" s="84">
        <f>IFERROR(F357-C357,"")</f>
        <v>1590.1864916886789</v>
      </c>
      <c r="E357" s="83">
        <f>IF(A357&lt;&gt;"",$I$6,"")</f>
        <v>1612.641126853704</v>
      </c>
      <c r="F357" s="84">
        <f>IF(A357&lt;&gt;"",$I$6,"")</f>
        <v>1612.641126853704</v>
      </c>
      <c r="G357" s="6"/>
      <c r="H357" s="6"/>
      <c r="I357" s="6"/>
    </row>
    <row r="358" spans="1:9" x14ac:dyDescent="0.2">
      <c r="A358" s="7">
        <v>357</v>
      </c>
      <c r="B358" s="83">
        <f>IFERROR(IF(B357-D357&gt;=0.01,B357-D357,""),"")</f>
        <v>6405.5292940769332</v>
      </c>
      <c r="C358" s="83">
        <f>IFERROR(B358*$I$4/12,"")</f>
        <v>17.988861434199389</v>
      </c>
      <c r="D358" s="84">
        <f>IFERROR(F358-C358,"")</f>
        <v>1594.6522654195046</v>
      </c>
      <c r="E358" s="83">
        <f>IF(A358&lt;&gt;"",$I$6,"")</f>
        <v>1612.641126853704</v>
      </c>
      <c r="F358" s="84">
        <f>IF(A358&lt;&gt;"",$I$6,"")</f>
        <v>1612.641126853704</v>
      </c>
      <c r="G358" s="6"/>
      <c r="H358" s="6"/>
      <c r="I358" s="6"/>
    </row>
    <row r="359" spans="1:9" x14ac:dyDescent="0.2">
      <c r="A359" s="7">
        <v>358</v>
      </c>
      <c r="B359" s="83">
        <f>IFERROR(IF(B358-D358&gt;=0.01,B358-D358,""),"")</f>
        <v>4810.877028657429</v>
      </c>
      <c r="C359" s="83">
        <f>IFERROR(B359*$I$4/12,"")</f>
        <v>13.510546322146281</v>
      </c>
      <c r="D359" s="84">
        <f>IFERROR(F359-C359,"")</f>
        <v>1599.1305805315578</v>
      </c>
      <c r="E359" s="83">
        <f>IF(A359&lt;&gt;"",$I$6,"")</f>
        <v>1612.641126853704</v>
      </c>
      <c r="F359" s="84">
        <f>IF(A359&lt;&gt;"",$I$6,"")</f>
        <v>1612.641126853704</v>
      </c>
      <c r="G359" s="6"/>
      <c r="H359" s="6"/>
      <c r="I359" s="6"/>
    </row>
    <row r="360" spans="1:9" x14ac:dyDescent="0.2">
      <c r="A360" s="7">
        <v>359</v>
      </c>
      <c r="B360" s="83">
        <f>IFERROR(IF(B359-D359&gt;=0.01,B359-D359,""),"")</f>
        <v>3211.7464481258712</v>
      </c>
      <c r="C360" s="83">
        <f>IFERROR(B360*$I$4/12,"")</f>
        <v>9.0196546084868228</v>
      </c>
      <c r="D360" s="84">
        <f>IFERROR(F360-C360,"")</f>
        <v>1603.6214722452171</v>
      </c>
      <c r="E360" s="83">
        <f>IF(A360&lt;&gt;"",$I$6,"")</f>
        <v>1612.641126853704</v>
      </c>
      <c r="F360" s="84">
        <f>IF(A360&lt;&gt;"",$I$6,"")</f>
        <v>1612.641126853704</v>
      </c>
      <c r="G360" s="6"/>
      <c r="H360" s="6"/>
      <c r="I360" s="6"/>
    </row>
    <row r="361" spans="1:9" x14ac:dyDescent="0.2">
      <c r="A361" s="7">
        <v>360</v>
      </c>
      <c r="B361" s="83">
        <f>IFERROR(IF(B360-D360&gt;=0.01,B360-D360,""),"")</f>
        <v>1608.1249758806541</v>
      </c>
      <c r="C361" s="83">
        <f>IFERROR(B361*$I$4/12,"")</f>
        <v>4.516150973931504</v>
      </c>
      <c r="D361" s="84">
        <f>IFERROR(F361-C361,"")</f>
        <v>1608.1249758797726</v>
      </c>
      <c r="E361" s="83">
        <f>IF(A361&lt;&gt;"",$I$6,"")</f>
        <v>1612.641126853704</v>
      </c>
      <c r="F361" s="84">
        <f>IF(A361&lt;&gt;"",$I$6,"")</f>
        <v>1612.641126853704</v>
      </c>
      <c r="G361" s="6"/>
      <c r="H361" s="6"/>
      <c r="I361" s="6"/>
    </row>
    <row r="362" spans="1:9" x14ac:dyDescent="0.2">
      <c r="A362" s="7"/>
      <c r="B362" s="82"/>
      <c r="C362" s="82"/>
      <c r="D362" s="82"/>
      <c r="E362" s="82"/>
      <c r="F362" s="91"/>
      <c r="G362" s="6"/>
      <c r="H362" s="6"/>
      <c r="I362" s="6"/>
    </row>
    <row r="363" spans="1:9" x14ac:dyDescent="0.2">
      <c r="A363" s="7"/>
      <c r="B363" s="82"/>
      <c r="C363" s="82"/>
      <c r="D363" s="82"/>
      <c r="E363" s="82"/>
      <c r="F363" s="91"/>
      <c r="G363" s="6"/>
      <c r="H363" s="6"/>
      <c r="I363" s="6"/>
    </row>
    <row r="364" spans="1:9" x14ac:dyDescent="0.2">
      <c r="A364" s="7"/>
      <c r="B364" s="82"/>
      <c r="C364" s="82"/>
      <c r="D364" s="82"/>
      <c r="E364" s="82"/>
      <c r="F364" s="91"/>
      <c r="G364" s="6"/>
      <c r="H364" s="6"/>
      <c r="I364" s="6"/>
    </row>
    <row r="365" spans="1:9" x14ac:dyDescent="0.2">
      <c r="A365" s="7"/>
      <c r="B365" s="82"/>
      <c r="C365" s="82"/>
      <c r="D365" s="82"/>
      <c r="E365" s="82"/>
      <c r="F365" s="91"/>
      <c r="G365" s="6"/>
      <c r="H365" s="6"/>
      <c r="I365" s="6"/>
    </row>
    <row r="366" spans="1:9" x14ac:dyDescent="0.2">
      <c r="A366" s="7"/>
      <c r="B366" s="82"/>
      <c r="C366" s="82"/>
      <c r="D366" s="82"/>
      <c r="E366" s="82"/>
      <c r="F366" s="91"/>
      <c r="G366" s="6"/>
      <c r="H366" s="6"/>
      <c r="I366" s="6"/>
    </row>
    <row r="367" spans="1:9" x14ac:dyDescent="0.2">
      <c r="A367" s="7"/>
      <c r="B367" s="82"/>
      <c r="C367" s="82"/>
      <c r="D367" s="82"/>
      <c r="E367" s="82"/>
      <c r="F367" s="91"/>
      <c r="G367" s="6"/>
      <c r="H367" s="6"/>
      <c r="I367" s="6"/>
    </row>
    <row r="368" spans="1:9" x14ac:dyDescent="0.2">
      <c r="A368" s="7"/>
      <c r="B368" s="82"/>
      <c r="C368" s="82"/>
      <c r="D368" s="82"/>
      <c r="E368" s="82"/>
      <c r="F368" s="91"/>
      <c r="G368" s="6"/>
      <c r="H368" s="6"/>
      <c r="I368" s="6"/>
    </row>
    <row r="369" spans="1:9" x14ac:dyDescent="0.2">
      <c r="A369" s="7"/>
      <c r="B369" s="82"/>
      <c r="C369" s="82"/>
      <c r="D369" s="82"/>
      <c r="E369" s="82"/>
      <c r="F369" s="91"/>
      <c r="G369" s="6"/>
      <c r="H369" s="6"/>
      <c r="I369" s="6"/>
    </row>
    <row r="370" spans="1:9" x14ac:dyDescent="0.2">
      <c r="A370" s="7"/>
      <c r="B370" s="82"/>
      <c r="C370" s="82"/>
      <c r="D370" s="82"/>
      <c r="E370" s="82"/>
      <c r="F370" s="91"/>
      <c r="G370" s="6"/>
      <c r="H370" s="6"/>
      <c r="I370" s="6"/>
    </row>
    <row r="371" spans="1:9" x14ac:dyDescent="0.2">
      <c r="A371" s="7"/>
      <c r="B371" s="82"/>
      <c r="C371" s="82"/>
      <c r="D371" s="82"/>
      <c r="E371" s="82"/>
      <c r="F371" s="91"/>
      <c r="G371" s="6"/>
      <c r="H371" s="6"/>
      <c r="I371" s="6"/>
    </row>
    <row r="372" spans="1:9" x14ac:dyDescent="0.2">
      <c r="A372" s="7"/>
      <c r="B372" s="82"/>
      <c r="C372" s="82"/>
      <c r="D372" s="82"/>
      <c r="E372" s="82"/>
      <c r="F372" s="91"/>
      <c r="G372" s="6"/>
      <c r="H372" s="6"/>
      <c r="I372" s="6"/>
    </row>
    <row r="373" spans="1:9" x14ac:dyDescent="0.2">
      <c r="A373" s="7"/>
      <c r="B373" s="82"/>
      <c r="C373" s="82"/>
      <c r="D373" s="82"/>
      <c r="E373" s="82"/>
      <c r="F373" s="91"/>
      <c r="G373" s="6"/>
      <c r="H373" s="6"/>
      <c r="I373" s="6"/>
    </row>
    <row r="374" spans="1:9" x14ac:dyDescent="0.2">
      <c r="A374" s="7"/>
      <c r="B374" s="82"/>
      <c r="C374" s="82"/>
      <c r="D374" s="82"/>
      <c r="E374" s="82"/>
      <c r="F374" s="91"/>
      <c r="G374" s="6"/>
      <c r="H374" s="6"/>
      <c r="I374" s="6"/>
    </row>
    <row r="375" spans="1:9" x14ac:dyDescent="0.2">
      <c r="A375" s="7"/>
      <c r="B375" s="82"/>
      <c r="C375" s="82"/>
      <c r="D375" s="82"/>
      <c r="E375" s="82"/>
      <c r="F375" s="91"/>
      <c r="G375" s="6"/>
      <c r="H375" s="6"/>
      <c r="I375" s="6"/>
    </row>
    <row r="376" spans="1:9" x14ac:dyDescent="0.2">
      <c r="A376" s="7"/>
      <c r="B376" s="82"/>
      <c r="C376" s="82"/>
      <c r="D376" s="82"/>
      <c r="E376" s="82"/>
      <c r="F376" s="91"/>
      <c r="G376" s="6"/>
      <c r="H376" s="6"/>
      <c r="I376" s="6"/>
    </row>
    <row r="377" spans="1:9" x14ac:dyDescent="0.2">
      <c r="A377" s="7"/>
      <c r="B377" s="82"/>
      <c r="C377" s="82"/>
      <c r="D377" s="82"/>
      <c r="E377" s="82"/>
      <c r="F377" s="91"/>
      <c r="G377" s="6"/>
      <c r="H377" s="6"/>
      <c r="I377" s="6"/>
    </row>
    <row r="378" spans="1:9" x14ac:dyDescent="0.2">
      <c r="A378" s="7"/>
      <c r="B378" s="82"/>
      <c r="C378" s="82"/>
      <c r="D378" s="82"/>
      <c r="E378" s="82"/>
      <c r="F378" s="91"/>
      <c r="G378" s="6"/>
      <c r="H378" s="6"/>
      <c r="I378" s="6"/>
    </row>
    <row r="379" spans="1:9" x14ac:dyDescent="0.2">
      <c r="A379" s="7"/>
      <c r="B379" s="82"/>
      <c r="C379" s="82"/>
      <c r="D379" s="82"/>
      <c r="E379" s="82"/>
      <c r="F379" s="91"/>
      <c r="G379" s="6"/>
      <c r="H379" s="6"/>
      <c r="I379" s="6"/>
    </row>
    <row r="380" spans="1:9" x14ac:dyDescent="0.2">
      <c r="A380" s="7"/>
      <c r="B380" s="82"/>
      <c r="C380" s="82"/>
      <c r="D380" s="82"/>
      <c r="E380" s="82"/>
      <c r="F380" s="91"/>
      <c r="G380" s="6"/>
      <c r="H380" s="6"/>
      <c r="I380" s="6"/>
    </row>
    <row r="381" spans="1:9" x14ac:dyDescent="0.2">
      <c r="A381" s="7"/>
      <c r="B381" s="82"/>
      <c r="C381" s="82"/>
      <c r="D381" s="82"/>
      <c r="E381" s="82"/>
      <c r="F381" s="91"/>
      <c r="G381" s="6"/>
      <c r="H381" s="6"/>
      <c r="I381" s="6"/>
    </row>
    <row r="382" spans="1:9" x14ac:dyDescent="0.2">
      <c r="A382" s="7"/>
      <c r="B382" s="82"/>
      <c r="C382" s="82"/>
      <c r="D382" s="82"/>
      <c r="E382" s="82"/>
      <c r="F382" s="91"/>
      <c r="G382" s="6"/>
      <c r="H382" s="6"/>
      <c r="I382" s="6"/>
    </row>
    <row r="383" spans="1:9" x14ac:dyDescent="0.2">
      <c r="A383" s="7"/>
      <c r="B383" s="82"/>
      <c r="C383" s="82"/>
      <c r="D383" s="82"/>
      <c r="E383" s="82"/>
      <c r="F383" s="91"/>
      <c r="G383" s="6"/>
      <c r="H383" s="6"/>
      <c r="I383" s="6"/>
    </row>
    <row r="384" spans="1:9" x14ac:dyDescent="0.2">
      <c r="A384" s="7"/>
      <c r="B384" s="82"/>
      <c r="C384" s="82"/>
      <c r="D384" s="82"/>
      <c r="E384" s="82"/>
      <c r="F384" s="91"/>
      <c r="G384" s="6"/>
      <c r="H384" s="6"/>
      <c r="I384" s="6"/>
    </row>
    <row r="385" spans="1:9" x14ac:dyDescent="0.2">
      <c r="A385" s="7"/>
      <c r="B385" s="82"/>
      <c r="C385" s="82"/>
      <c r="D385" s="82"/>
      <c r="E385" s="82"/>
      <c r="F385" s="91"/>
      <c r="G385" s="6"/>
      <c r="H385" s="6"/>
      <c r="I385" s="6"/>
    </row>
    <row r="386" spans="1:9" x14ac:dyDescent="0.2">
      <c r="A386" s="7"/>
      <c r="B386" s="82"/>
      <c r="C386" s="82"/>
      <c r="D386" s="82"/>
      <c r="E386" s="82"/>
      <c r="F386" s="91"/>
      <c r="G386" s="6"/>
      <c r="H386" s="6"/>
      <c r="I386" s="6"/>
    </row>
    <row r="387" spans="1:9" x14ac:dyDescent="0.2">
      <c r="A387" s="7"/>
      <c r="B387" s="82"/>
      <c r="C387" s="82"/>
      <c r="D387" s="82"/>
      <c r="E387" s="82"/>
      <c r="F387" s="91"/>
      <c r="G387" s="6"/>
      <c r="H387" s="6"/>
      <c r="I387" s="6"/>
    </row>
    <row r="388" spans="1:9" x14ac:dyDescent="0.2">
      <c r="A388" s="7"/>
      <c r="B388" s="82"/>
      <c r="C388" s="82"/>
      <c r="D388" s="82"/>
      <c r="E388" s="82"/>
      <c r="F388" s="91"/>
      <c r="G388" s="6"/>
      <c r="H388" s="6"/>
      <c r="I388" s="6"/>
    </row>
    <row r="389" spans="1:9" x14ac:dyDescent="0.2">
      <c r="A389" s="7"/>
      <c r="B389" s="82"/>
      <c r="C389" s="82"/>
      <c r="D389" s="82"/>
      <c r="E389" s="82"/>
      <c r="F389" s="91"/>
      <c r="G389" s="6"/>
      <c r="H389" s="6"/>
      <c r="I389" s="6"/>
    </row>
    <row r="390" spans="1:9" x14ac:dyDescent="0.2">
      <c r="A390" s="7"/>
      <c r="B390" s="82"/>
      <c r="C390" s="82"/>
      <c r="D390" s="82"/>
      <c r="E390" s="82"/>
      <c r="F390" s="91"/>
      <c r="G390" s="6"/>
      <c r="H390" s="6"/>
      <c r="I390" s="6"/>
    </row>
    <row r="391" spans="1:9" x14ac:dyDescent="0.2">
      <c r="A391" s="7"/>
      <c r="B391" s="82"/>
      <c r="C391" s="82"/>
      <c r="D391" s="82"/>
      <c r="E391" s="82"/>
      <c r="F391" s="91"/>
      <c r="G391" s="6"/>
      <c r="H391" s="6"/>
      <c r="I391" s="6"/>
    </row>
    <row r="392" spans="1:9" x14ac:dyDescent="0.2">
      <c r="A392" s="7"/>
      <c r="B392" s="82"/>
      <c r="C392" s="82"/>
      <c r="D392" s="82"/>
      <c r="E392" s="82"/>
      <c r="F392" s="91"/>
      <c r="G392" s="6"/>
      <c r="H392" s="6"/>
      <c r="I392" s="6"/>
    </row>
    <row r="393" spans="1:9" x14ac:dyDescent="0.2">
      <c r="A393" s="7"/>
      <c r="B393" s="82"/>
      <c r="C393" s="82"/>
      <c r="D393" s="82"/>
      <c r="E393" s="82"/>
      <c r="F393" s="91"/>
      <c r="G393" s="6"/>
      <c r="H393" s="6"/>
      <c r="I393" s="6"/>
    </row>
    <row r="394" spans="1:9" x14ac:dyDescent="0.2">
      <c r="A394" s="7"/>
      <c r="B394" s="82"/>
      <c r="C394" s="82"/>
      <c r="D394" s="82"/>
      <c r="E394" s="82"/>
      <c r="F394" s="91"/>
      <c r="G394" s="6"/>
      <c r="H394" s="6"/>
      <c r="I394" s="6"/>
    </row>
    <row r="395" spans="1:9" x14ac:dyDescent="0.2">
      <c r="A395" s="7"/>
      <c r="B395" s="82"/>
      <c r="C395" s="82"/>
      <c r="D395" s="82"/>
      <c r="E395" s="82"/>
      <c r="F395" s="91"/>
      <c r="G395" s="6"/>
      <c r="H395" s="6"/>
      <c r="I395" s="6"/>
    </row>
    <row r="396" spans="1:9" x14ac:dyDescent="0.2">
      <c r="A396" s="7"/>
      <c r="B396" s="82"/>
      <c r="C396" s="82"/>
      <c r="D396" s="82"/>
      <c r="E396" s="82"/>
      <c r="F396" s="91"/>
      <c r="G396" s="6"/>
      <c r="H396" s="6"/>
      <c r="I396" s="6"/>
    </row>
    <row r="397" spans="1:9" x14ac:dyDescent="0.2">
      <c r="A397" s="7"/>
      <c r="B397" s="82"/>
      <c r="C397" s="82"/>
      <c r="D397" s="82"/>
      <c r="E397" s="82"/>
      <c r="F397" s="91"/>
      <c r="G397" s="6"/>
      <c r="H397" s="6"/>
      <c r="I397" s="6"/>
    </row>
    <row r="398" spans="1:9" x14ac:dyDescent="0.2">
      <c r="A398" s="7"/>
      <c r="B398" s="82"/>
      <c r="C398" s="82"/>
      <c r="D398" s="82"/>
      <c r="E398" s="82"/>
      <c r="F398" s="91"/>
      <c r="G398" s="6"/>
      <c r="H398" s="6"/>
      <c r="I398" s="6"/>
    </row>
    <row r="399" spans="1:9" x14ac:dyDescent="0.2">
      <c r="A399" s="7"/>
      <c r="B399" s="82"/>
      <c r="C399" s="82"/>
      <c r="D399" s="82"/>
      <c r="E399" s="82"/>
      <c r="F399" s="91"/>
      <c r="G399" s="6"/>
      <c r="H399" s="6"/>
      <c r="I399" s="6"/>
    </row>
    <row r="400" spans="1:9" x14ac:dyDescent="0.2">
      <c r="A400" s="7"/>
      <c r="B400" s="82"/>
      <c r="C400" s="82"/>
      <c r="D400" s="82"/>
      <c r="E400" s="82"/>
      <c r="F400" s="91"/>
      <c r="G400" s="6"/>
      <c r="H400" s="6"/>
      <c r="I400" s="6"/>
    </row>
    <row r="401" spans="1:9" x14ac:dyDescent="0.2">
      <c r="A401" s="7"/>
      <c r="B401" s="82"/>
      <c r="C401" s="82"/>
      <c r="D401" s="82"/>
      <c r="E401" s="82"/>
      <c r="F401" s="91"/>
      <c r="G401" s="6"/>
      <c r="H401" s="6"/>
      <c r="I401" s="6"/>
    </row>
    <row r="402" spans="1:9" x14ac:dyDescent="0.2">
      <c r="A402" s="7"/>
      <c r="B402" s="82"/>
      <c r="C402" s="82"/>
      <c r="D402" s="82"/>
      <c r="E402" s="82"/>
      <c r="F402" s="91"/>
      <c r="G402" s="6"/>
      <c r="H402" s="6"/>
      <c r="I402" s="6"/>
    </row>
    <row r="403" spans="1:9" x14ac:dyDescent="0.2">
      <c r="A403" s="7"/>
      <c r="B403" s="82"/>
      <c r="C403" s="82"/>
      <c r="D403" s="82"/>
      <c r="E403" s="82"/>
      <c r="F403" s="91"/>
      <c r="G403" s="6"/>
      <c r="H403" s="6"/>
      <c r="I403" s="6"/>
    </row>
    <row r="404" spans="1:9" x14ac:dyDescent="0.2">
      <c r="A404" s="7"/>
      <c r="B404" s="82"/>
      <c r="C404" s="82"/>
      <c r="D404" s="82"/>
      <c r="E404" s="82"/>
      <c r="F404" s="91"/>
      <c r="G404" s="6"/>
      <c r="H404" s="6"/>
      <c r="I404" s="6"/>
    </row>
    <row r="405" spans="1:9" x14ac:dyDescent="0.2">
      <c r="A405" s="7"/>
      <c r="B405" s="82"/>
      <c r="C405" s="82"/>
      <c r="D405" s="82"/>
      <c r="E405" s="82"/>
      <c r="F405" s="91"/>
      <c r="G405" s="6"/>
      <c r="H405" s="6"/>
      <c r="I405" s="6"/>
    </row>
    <row r="406" spans="1:9" x14ac:dyDescent="0.2">
      <c r="A406" s="7"/>
      <c r="B406" s="82"/>
      <c r="C406" s="82"/>
      <c r="D406" s="82"/>
      <c r="E406" s="82"/>
      <c r="F406" s="91"/>
      <c r="G406" s="6"/>
      <c r="H406" s="6"/>
      <c r="I406" s="6"/>
    </row>
    <row r="407" spans="1:9" x14ac:dyDescent="0.2">
      <c r="A407" s="7"/>
      <c r="B407" s="82"/>
      <c r="C407" s="82"/>
      <c r="D407" s="82"/>
      <c r="E407" s="82"/>
      <c r="F407" s="91"/>
      <c r="G407" s="6"/>
      <c r="H407" s="6"/>
      <c r="I407" s="6"/>
    </row>
    <row r="408" spans="1:9" x14ac:dyDescent="0.2">
      <c r="A408" s="7"/>
      <c r="B408" s="82"/>
      <c r="C408" s="82"/>
      <c r="D408" s="82"/>
      <c r="E408" s="82"/>
      <c r="F408" s="91"/>
      <c r="G408" s="6"/>
      <c r="H408" s="6"/>
      <c r="I408" s="6"/>
    </row>
    <row r="409" spans="1:9" x14ac:dyDescent="0.2">
      <c r="A409" s="7"/>
      <c r="B409" s="82"/>
      <c r="C409" s="82"/>
      <c r="D409" s="82"/>
      <c r="E409" s="82"/>
      <c r="F409" s="91"/>
      <c r="G409" s="6"/>
      <c r="H409" s="6"/>
      <c r="I409" s="6"/>
    </row>
    <row r="410" spans="1:9" x14ac:dyDescent="0.2">
      <c r="A410" s="7"/>
      <c r="B410" s="82"/>
      <c r="C410" s="82"/>
      <c r="D410" s="82"/>
      <c r="E410" s="82"/>
      <c r="F410" s="91"/>
      <c r="G410" s="6"/>
      <c r="H410" s="6"/>
      <c r="I410" s="6"/>
    </row>
    <row r="411" spans="1:9" x14ac:dyDescent="0.2">
      <c r="A411" s="7"/>
      <c r="B411" s="82"/>
      <c r="C411" s="82"/>
      <c r="D411" s="82"/>
      <c r="E411" s="82"/>
      <c r="F411" s="91"/>
      <c r="G411" s="6"/>
      <c r="H411" s="6"/>
      <c r="I411" s="6"/>
    </row>
    <row r="412" spans="1:9" x14ac:dyDescent="0.2">
      <c r="A412" s="7"/>
      <c r="B412" s="82"/>
      <c r="C412" s="82"/>
      <c r="D412" s="82"/>
      <c r="E412" s="82"/>
      <c r="F412" s="91"/>
      <c r="G412" s="6"/>
      <c r="H412" s="6"/>
      <c r="I412" s="6"/>
    </row>
    <row r="413" spans="1:9" x14ac:dyDescent="0.2">
      <c r="A413" s="7"/>
      <c r="B413" s="82"/>
      <c r="C413" s="82"/>
      <c r="D413" s="82"/>
      <c r="E413" s="82"/>
      <c r="F413" s="91"/>
      <c r="G413" s="6"/>
      <c r="H413" s="6"/>
      <c r="I413" s="6"/>
    </row>
    <row r="414" spans="1:9" x14ac:dyDescent="0.2">
      <c r="A414" s="7"/>
      <c r="B414" s="82"/>
      <c r="C414" s="82"/>
      <c r="D414" s="82"/>
      <c r="E414" s="82"/>
      <c r="F414" s="91"/>
      <c r="G414" s="6"/>
      <c r="H414" s="6"/>
      <c r="I414" s="6"/>
    </row>
    <row r="415" spans="1:9" x14ac:dyDescent="0.2">
      <c r="A415" s="7"/>
      <c r="B415" s="82"/>
      <c r="C415" s="82"/>
      <c r="D415" s="82"/>
      <c r="E415" s="82"/>
      <c r="F415" s="91"/>
      <c r="G415" s="6"/>
      <c r="H415" s="6"/>
      <c r="I415" s="6"/>
    </row>
    <row r="416" spans="1:9" x14ac:dyDescent="0.2">
      <c r="A416" s="7"/>
      <c r="B416" s="82"/>
      <c r="C416" s="82"/>
      <c r="D416" s="82"/>
      <c r="E416" s="82"/>
      <c r="F416" s="91"/>
      <c r="G416" s="6"/>
      <c r="H416" s="6"/>
      <c r="I416" s="6"/>
    </row>
    <row r="417" spans="1:9" x14ac:dyDescent="0.2">
      <c r="A417" s="7"/>
      <c r="B417" s="82"/>
      <c r="C417" s="82"/>
      <c r="D417" s="82"/>
      <c r="E417" s="82"/>
      <c r="F417" s="91"/>
      <c r="G417" s="6"/>
      <c r="H417" s="6"/>
      <c r="I417" s="6"/>
    </row>
    <row r="418" spans="1:9" x14ac:dyDescent="0.2">
      <c r="A418" s="7"/>
      <c r="B418" s="82"/>
      <c r="C418" s="82"/>
      <c r="D418" s="82"/>
      <c r="E418" s="82"/>
      <c r="F418" s="91"/>
      <c r="G418" s="6"/>
      <c r="H418" s="6"/>
      <c r="I418" s="6"/>
    </row>
    <row r="419" spans="1:9" x14ac:dyDescent="0.2">
      <c r="A419" s="7"/>
      <c r="B419" s="82"/>
      <c r="C419" s="82"/>
      <c r="D419" s="82"/>
      <c r="E419" s="82"/>
      <c r="F419" s="91"/>
      <c r="G419" s="6"/>
      <c r="H419" s="6"/>
      <c r="I419" s="6"/>
    </row>
    <row r="420" spans="1:9" x14ac:dyDescent="0.2">
      <c r="A420" s="7"/>
      <c r="B420" s="82"/>
      <c r="C420" s="82"/>
      <c r="D420" s="82"/>
      <c r="E420" s="82"/>
      <c r="F420" s="91"/>
      <c r="G420" s="6"/>
      <c r="H420" s="6"/>
      <c r="I420" s="6"/>
    </row>
    <row r="421" spans="1:9" x14ac:dyDescent="0.2">
      <c r="A421" s="7"/>
      <c r="B421" s="82"/>
      <c r="C421" s="82"/>
      <c r="D421" s="82"/>
      <c r="E421" s="82"/>
      <c r="F421" s="91"/>
      <c r="G421" s="6"/>
      <c r="H421" s="6"/>
      <c r="I421" s="6"/>
    </row>
    <row r="422" spans="1:9" x14ac:dyDescent="0.2">
      <c r="A422" s="7"/>
      <c r="B422" s="82"/>
      <c r="C422" s="82"/>
      <c r="D422" s="82"/>
      <c r="E422" s="82"/>
      <c r="F422" s="91"/>
      <c r="G422" s="6"/>
      <c r="H422" s="6"/>
      <c r="I422" s="6"/>
    </row>
    <row r="423" spans="1:9" x14ac:dyDescent="0.2">
      <c r="A423" s="7"/>
      <c r="B423" s="82"/>
      <c r="C423" s="82"/>
      <c r="D423" s="82"/>
      <c r="E423" s="82"/>
      <c r="F423" s="91"/>
      <c r="G423" s="6"/>
      <c r="H423" s="6"/>
      <c r="I423" s="6"/>
    </row>
    <row r="424" spans="1:9" x14ac:dyDescent="0.2">
      <c r="A424" s="7"/>
      <c r="B424" s="82"/>
      <c r="C424" s="82"/>
      <c r="D424" s="82"/>
      <c r="E424" s="82"/>
      <c r="F424" s="91"/>
      <c r="G424" s="6"/>
      <c r="H424" s="6"/>
      <c r="I424" s="6"/>
    </row>
    <row r="425" spans="1:9" x14ac:dyDescent="0.2">
      <c r="A425" s="7"/>
      <c r="B425" s="82"/>
      <c r="C425" s="82"/>
      <c r="D425" s="82"/>
      <c r="E425" s="82"/>
      <c r="F425" s="91"/>
      <c r="G425" s="6"/>
      <c r="H425" s="6"/>
      <c r="I425" s="6"/>
    </row>
    <row r="426" spans="1:9" x14ac:dyDescent="0.2">
      <c r="A426" s="7"/>
      <c r="B426" s="82"/>
      <c r="C426" s="82"/>
      <c r="D426" s="82"/>
      <c r="E426" s="82"/>
      <c r="F426" s="91"/>
      <c r="G426" s="6"/>
      <c r="H426" s="6"/>
      <c r="I426" s="6"/>
    </row>
    <row r="427" spans="1:9" x14ac:dyDescent="0.2">
      <c r="A427" s="7"/>
      <c r="B427" s="82"/>
      <c r="C427" s="82"/>
      <c r="D427" s="82"/>
      <c r="E427" s="82"/>
      <c r="F427" s="91"/>
      <c r="G427" s="6"/>
      <c r="H427" s="6"/>
      <c r="I427" s="6"/>
    </row>
    <row r="428" spans="1:9" x14ac:dyDescent="0.2">
      <c r="A428" s="7"/>
      <c r="B428" s="82"/>
      <c r="C428" s="82"/>
      <c r="D428" s="82"/>
      <c r="E428" s="82"/>
      <c r="F428" s="91"/>
      <c r="G428" s="6"/>
      <c r="H428" s="6"/>
      <c r="I428" s="6"/>
    </row>
    <row r="429" spans="1:9" x14ac:dyDescent="0.2">
      <c r="A429" s="7"/>
      <c r="B429" s="82"/>
      <c r="C429" s="82"/>
      <c r="D429" s="82"/>
      <c r="E429" s="82"/>
      <c r="F429" s="91"/>
      <c r="G429" s="6"/>
      <c r="H429" s="6"/>
      <c r="I429" s="6"/>
    </row>
    <row r="430" spans="1:9" x14ac:dyDescent="0.2">
      <c r="A430" s="7"/>
      <c r="B430" s="82"/>
      <c r="C430" s="82"/>
      <c r="D430" s="82"/>
      <c r="E430" s="82"/>
      <c r="F430" s="91"/>
      <c r="G430" s="6"/>
      <c r="H430" s="6"/>
      <c r="I430" s="6"/>
    </row>
    <row r="431" spans="1:9" x14ac:dyDescent="0.2">
      <c r="A431" s="7"/>
      <c r="B431" s="82"/>
      <c r="C431" s="82"/>
      <c r="D431" s="82"/>
      <c r="E431" s="82"/>
      <c r="F431" s="91"/>
      <c r="G431" s="6"/>
      <c r="H431" s="6"/>
      <c r="I431" s="6"/>
    </row>
    <row r="432" spans="1:9" x14ac:dyDescent="0.2">
      <c r="A432" s="7"/>
      <c r="B432" s="82"/>
      <c r="C432" s="82"/>
      <c r="D432" s="82"/>
      <c r="E432" s="82"/>
      <c r="F432" s="91"/>
      <c r="G432" s="6"/>
      <c r="H432" s="6"/>
      <c r="I432" s="6"/>
    </row>
    <row r="433" spans="1:9" x14ac:dyDescent="0.2">
      <c r="A433" s="7"/>
      <c r="B433" s="82"/>
      <c r="C433" s="82"/>
      <c r="D433" s="82"/>
      <c r="E433" s="82"/>
      <c r="F433" s="91"/>
      <c r="G433" s="6"/>
      <c r="H433" s="6"/>
      <c r="I433" s="6"/>
    </row>
    <row r="434" spans="1:9" x14ac:dyDescent="0.2">
      <c r="A434" s="7"/>
      <c r="B434" s="82"/>
      <c r="C434" s="82"/>
      <c r="D434" s="82"/>
      <c r="E434" s="82"/>
      <c r="F434" s="91"/>
      <c r="G434" s="6"/>
      <c r="H434" s="6"/>
      <c r="I434" s="6"/>
    </row>
    <row r="435" spans="1:9" x14ac:dyDescent="0.2">
      <c r="A435" s="7"/>
      <c r="B435" s="82"/>
      <c r="C435" s="82"/>
      <c r="D435" s="82"/>
      <c r="E435" s="82"/>
      <c r="F435" s="91"/>
      <c r="G435" s="6"/>
      <c r="H435" s="6"/>
      <c r="I435" s="6"/>
    </row>
    <row r="436" spans="1:9" x14ac:dyDescent="0.2">
      <c r="A436" s="7"/>
      <c r="B436" s="82"/>
      <c r="C436" s="82"/>
      <c r="D436" s="82"/>
      <c r="E436" s="82"/>
      <c r="F436" s="91"/>
      <c r="G436" s="6"/>
      <c r="H436" s="6"/>
      <c r="I436" s="6"/>
    </row>
    <row r="437" spans="1:9" x14ac:dyDescent="0.2">
      <c r="A437" s="7"/>
      <c r="B437" s="82"/>
      <c r="C437" s="82"/>
      <c r="D437" s="82"/>
      <c r="E437" s="82"/>
      <c r="F437" s="91"/>
      <c r="G437" s="6"/>
      <c r="H437" s="6"/>
      <c r="I437" s="6"/>
    </row>
    <row r="438" spans="1:9" x14ac:dyDescent="0.2">
      <c r="A438" s="7"/>
      <c r="B438" s="82"/>
      <c r="C438" s="82"/>
      <c r="D438" s="82"/>
      <c r="E438" s="82"/>
      <c r="F438" s="91"/>
      <c r="G438" s="6"/>
      <c r="H438" s="6"/>
      <c r="I438" s="6"/>
    </row>
    <row r="439" spans="1:9" x14ac:dyDescent="0.2">
      <c r="A439" s="7"/>
      <c r="B439" s="82"/>
      <c r="C439" s="82"/>
      <c r="D439" s="82"/>
      <c r="E439" s="82"/>
      <c r="F439" s="91"/>
      <c r="G439" s="6"/>
      <c r="H439" s="6"/>
      <c r="I439" s="6"/>
    </row>
    <row r="440" spans="1:9" x14ac:dyDescent="0.2">
      <c r="A440" s="7"/>
      <c r="B440" s="82"/>
      <c r="C440" s="82"/>
      <c r="D440" s="82"/>
      <c r="E440" s="82"/>
      <c r="F440" s="91"/>
      <c r="G440" s="6"/>
      <c r="H440" s="6"/>
      <c r="I440" s="6"/>
    </row>
    <row r="441" spans="1:9" x14ac:dyDescent="0.2">
      <c r="A441" s="7"/>
      <c r="B441" s="82"/>
      <c r="C441" s="82"/>
      <c r="D441" s="82"/>
      <c r="E441" s="82"/>
      <c r="F441" s="91"/>
      <c r="G441" s="6"/>
      <c r="H441" s="6"/>
      <c r="I441" s="6"/>
    </row>
    <row r="442" spans="1:9" x14ac:dyDescent="0.2">
      <c r="A442" s="7"/>
      <c r="B442" s="82"/>
      <c r="C442" s="82"/>
      <c r="D442" s="82"/>
      <c r="E442" s="82"/>
      <c r="F442" s="91"/>
      <c r="G442" s="6"/>
      <c r="H442" s="6"/>
      <c r="I442" s="6"/>
    </row>
    <row r="443" spans="1:9" x14ac:dyDescent="0.2">
      <c r="A443" s="7"/>
      <c r="B443" s="82"/>
      <c r="C443" s="82"/>
      <c r="D443" s="82"/>
      <c r="E443" s="82"/>
      <c r="F443" s="91"/>
      <c r="G443" s="6"/>
      <c r="H443" s="6"/>
      <c r="I443" s="6"/>
    </row>
    <row r="444" spans="1:9" x14ac:dyDescent="0.2">
      <c r="A444" s="7"/>
      <c r="B444" s="82"/>
      <c r="C444" s="82"/>
      <c r="D444" s="82"/>
      <c r="E444" s="82"/>
      <c r="F444" s="91"/>
      <c r="G444" s="6"/>
      <c r="H444" s="6"/>
      <c r="I444" s="6"/>
    </row>
    <row r="445" spans="1:9" x14ac:dyDescent="0.2">
      <c r="A445" s="7"/>
      <c r="B445" s="82"/>
      <c r="C445" s="82"/>
      <c r="D445" s="82"/>
      <c r="E445" s="82"/>
      <c r="F445" s="91"/>
      <c r="G445" s="6"/>
      <c r="H445" s="6"/>
      <c r="I445" s="6"/>
    </row>
    <row r="446" spans="1:9" x14ac:dyDescent="0.2">
      <c r="A446" s="7"/>
      <c r="B446" s="82"/>
      <c r="C446" s="82"/>
      <c r="D446" s="82"/>
      <c r="E446" s="82"/>
      <c r="F446" s="91"/>
      <c r="G446" s="6"/>
      <c r="H446" s="6"/>
      <c r="I446" s="6"/>
    </row>
    <row r="447" spans="1:9" x14ac:dyDescent="0.2">
      <c r="A447" s="7"/>
      <c r="B447" s="82"/>
      <c r="C447" s="82"/>
      <c r="D447" s="82"/>
      <c r="E447" s="82"/>
      <c r="F447" s="91"/>
      <c r="G447" s="6"/>
      <c r="H447" s="6"/>
      <c r="I447" s="6"/>
    </row>
    <row r="448" spans="1:9" x14ac:dyDescent="0.2">
      <c r="A448" s="7"/>
      <c r="B448" s="82"/>
      <c r="C448" s="82"/>
      <c r="D448" s="82"/>
      <c r="E448" s="82"/>
      <c r="F448" s="91"/>
      <c r="G448" s="6"/>
      <c r="H448" s="6"/>
      <c r="I448" s="6"/>
    </row>
    <row r="449" spans="1:9" x14ac:dyDescent="0.2">
      <c r="A449" s="7"/>
      <c r="B449" s="82"/>
      <c r="C449" s="82"/>
      <c r="D449" s="82"/>
      <c r="E449" s="82"/>
      <c r="F449" s="91"/>
      <c r="G449" s="6"/>
      <c r="H449" s="6"/>
      <c r="I449" s="6"/>
    </row>
    <row r="450" spans="1:9" x14ac:dyDescent="0.2">
      <c r="A450" s="7"/>
      <c r="B450" s="82"/>
      <c r="C450" s="82"/>
      <c r="D450" s="82"/>
      <c r="E450" s="82"/>
      <c r="F450" s="91"/>
      <c r="G450" s="6"/>
      <c r="H450" s="6"/>
      <c r="I450" s="6"/>
    </row>
    <row r="451" spans="1:9" x14ac:dyDescent="0.2">
      <c r="A451" s="7"/>
      <c r="B451" s="82"/>
      <c r="C451" s="82"/>
      <c r="D451" s="82"/>
      <c r="E451" s="82"/>
      <c r="F451" s="91"/>
      <c r="G451" s="6"/>
      <c r="H451" s="6"/>
      <c r="I451" s="6"/>
    </row>
    <row r="452" spans="1:9" x14ac:dyDescent="0.2">
      <c r="A452" s="7"/>
      <c r="B452" s="82"/>
      <c r="C452" s="82"/>
      <c r="D452" s="82"/>
      <c r="E452" s="82"/>
      <c r="F452" s="91"/>
      <c r="G452" s="6"/>
      <c r="H452" s="6"/>
      <c r="I452" s="6"/>
    </row>
    <row r="453" spans="1:9" x14ac:dyDescent="0.2">
      <c r="A453" s="7"/>
      <c r="B453" s="82"/>
      <c r="C453" s="82"/>
      <c r="D453" s="82"/>
      <c r="E453" s="82"/>
      <c r="F453" s="91"/>
      <c r="G453" s="6"/>
      <c r="H453" s="6"/>
      <c r="I453" s="6"/>
    </row>
    <row r="454" spans="1:9" x14ac:dyDescent="0.2">
      <c r="A454" s="7"/>
      <c r="B454" s="82"/>
      <c r="C454" s="82"/>
      <c r="D454" s="82"/>
      <c r="E454" s="82"/>
      <c r="F454" s="91"/>
      <c r="G454" s="6"/>
      <c r="H454" s="6"/>
      <c r="I454" s="6"/>
    </row>
    <row r="455" spans="1:9" x14ac:dyDescent="0.2">
      <c r="A455" s="7"/>
      <c r="B455" s="82"/>
      <c r="C455" s="82"/>
      <c r="D455" s="82"/>
      <c r="E455" s="82"/>
      <c r="F455" s="91"/>
      <c r="G455" s="6"/>
      <c r="H455" s="6"/>
      <c r="I455" s="6"/>
    </row>
    <row r="456" spans="1:9" x14ac:dyDescent="0.2">
      <c r="A456" s="7"/>
      <c r="B456" s="82"/>
      <c r="C456" s="82"/>
      <c r="D456" s="82"/>
      <c r="E456" s="82"/>
      <c r="F456" s="91"/>
      <c r="G456" s="6"/>
      <c r="H456" s="6"/>
      <c r="I456" s="6"/>
    </row>
    <row r="457" spans="1:9" x14ac:dyDescent="0.2">
      <c r="A457" s="7"/>
      <c r="B457" s="82"/>
      <c r="C457" s="82"/>
      <c r="D457" s="82"/>
      <c r="E457" s="82"/>
      <c r="F457" s="91"/>
      <c r="G457" s="6"/>
      <c r="H457" s="6"/>
      <c r="I457" s="6"/>
    </row>
    <row r="458" spans="1:9" x14ac:dyDescent="0.2">
      <c r="A458" s="7"/>
      <c r="B458" s="82"/>
      <c r="C458" s="82"/>
      <c r="D458" s="82"/>
      <c r="E458" s="82"/>
      <c r="F458" s="91"/>
      <c r="G458" s="6"/>
      <c r="H458" s="6"/>
      <c r="I458" s="6"/>
    </row>
    <row r="459" spans="1:9" x14ac:dyDescent="0.2">
      <c r="A459" s="7"/>
      <c r="B459" s="82"/>
      <c r="C459" s="82"/>
      <c r="D459" s="82"/>
      <c r="E459" s="82"/>
      <c r="F459" s="91"/>
      <c r="G459" s="6"/>
      <c r="H459" s="6"/>
      <c r="I459" s="6"/>
    </row>
    <row r="460" spans="1:9" x14ac:dyDescent="0.2">
      <c r="A460" s="7"/>
      <c r="B460" s="82"/>
      <c r="C460" s="82"/>
      <c r="D460" s="82"/>
      <c r="E460" s="82"/>
      <c r="F460" s="91"/>
      <c r="G460" s="6"/>
      <c r="H460" s="6"/>
      <c r="I460" s="6"/>
    </row>
    <row r="461" spans="1:9" x14ac:dyDescent="0.2">
      <c r="A461" s="7"/>
      <c r="B461" s="82"/>
      <c r="C461" s="82"/>
      <c r="D461" s="82"/>
      <c r="E461" s="82"/>
      <c r="F461" s="91"/>
      <c r="G461" s="6"/>
      <c r="H461" s="6"/>
      <c r="I461" s="6"/>
    </row>
    <row r="462" spans="1:9" x14ac:dyDescent="0.2">
      <c r="A462" s="7"/>
      <c r="B462" s="82"/>
      <c r="C462" s="82"/>
      <c r="D462" s="82"/>
      <c r="E462" s="82"/>
      <c r="F462" s="91"/>
      <c r="G462" s="6"/>
      <c r="H462" s="6"/>
      <c r="I462" s="6"/>
    </row>
    <row r="463" spans="1:9" x14ac:dyDescent="0.2">
      <c r="A463" s="7"/>
      <c r="B463" s="82"/>
      <c r="C463" s="82"/>
      <c r="D463" s="82"/>
      <c r="E463" s="82"/>
      <c r="F463" s="91"/>
      <c r="G463" s="6"/>
      <c r="H463" s="6"/>
      <c r="I463" s="6"/>
    </row>
    <row r="464" spans="1:9" x14ac:dyDescent="0.2">
      <c r="A464" s="7"/>
      <c r="B464" s="82"/>
      <c r="C464" s="82"/>
      <c r="D464" s="82"/>
      <c r="E464" s="82"/>
      <c r="F464" s="91"/>
      <c r="G464" s="6"/>
      <c r="H464" s="6"/>
      <c r="I464" s="6"/>
    </row>
    <row r="465" spans="1:9" x14ac:dyDescent="0.2">
      <c r="A465" s="7"/>
      <c r="B465" s="82"/>
      <c r="C465" s="82"/>
      <c r="D465" s="82"/>
      <c r="E465" s="82"/>
      <c r="F465" s="91"/>
      <c r="G465" s="6"/>
      <c r="H465" s="6"/>
      <c r="I465" s="6"/>
    </row>
    <row r="466" spans="1:9" x14ac:dyDescent="0.2">
      <c r="A466" s="7"/>
      <c r="B466" s="82"/>
      <c r="C466" s="82"/>
      <c r="D466" s="82"/>
      <c r="E466" s="82"/>
      <c r="F466" s="91"/>
      <c r="G466" s="6"/>
      <c r="H466" s="6"/>
      <c r="I466" s="6"/>
    </row>
    <row r="467" spans="1:9" x14ac:dyDescent="0.2">
      <c r="A467" s="7"/>
      <c r="B467" s="82"/>
      <c r="C467" s="82"/>
      <c r="D467" s="82"/>
      <c r="E467" s="82"/>
      <c r="F467" s="91"/>
      <c r="G467" s="6"/>
      <c r="H467" s="6"/>
      <c r="I467" s="6"/>
    </row>
    <row r="468" spans="1:9" x14ac:dyDescent="0.2">
      <c r="A468" s="7"/>
      <c r="B468" s="82"/>
      <c r="C468" s="82"/>
      <c r="D468" s="82"/>
      <c r="E468" s="82"/>
      <c r="F468" s="91"/>
      <c r="G468" s="6"/>
      <c r="H468" s="6"/>
      <c r="I468" s="6"/>
    </row>
    <row r="469" spans="1:9" x14ac:dyDescent="0.2">
      <c r="A469" s="7"/>
      <c r="B469" s="82"/>
      <c r="C469" s="82"/>
      <c r="D469" s="82"/>
      <c r="E469" s="82"/>
      <c r="F469" s="91"/>
      <c r="G469" s="6"/>
      <c r="H469" s="6"/>
      <c r="I469" s="6"/>
    </row>
    <row r="470" spans="1:9" x14ac:dyDescent="0.2">
      <c r="A470" s="7"/>
      <c r="B470" s="82"/>
      <c r="C470" s="82"/>
      <c r="D470" s="82"/>
      <c r="E470" s="82"/>
      <c r="F470" s="91"/>
      <c r="G470" s="6"/>
      <c r="H470" s="6"/>
      <c r="I470" s="6"/>
    </row>
    <row r="471" spans="1:9" x14ac:dyDescent="0.2">
      <c r="A471" s="7"/>
      <c r="B471" s="82"/>
      <c r="C471" s="82"/>
      <c r="D471" s="82"/>
      <c r="E471" s="82"/>
      <c r="F471" s="91"/>
      <c r="G471" s="6"/>
      <c r="H471" s="6"/>
      <c r="I471" s="6"/>
    </row>
    <row r="472" spans="1:9" x14ac:dyDescent="0.2">
      <c r="A472" s="7"/>
      <c r="B472" s="82"/>
      <c r="C472" s="82"/>
      <c r="D472" s="82"/>
      <c r="E472" s="82"/>
      <c r="F472" s="91"/>
      <c r="G472" s="6"/>
      <c r="H472" s="6"/>
      <c r="I472" s="6"/>
    </row>
    <row r="473" spans="1:9" x14ac:dyDescent="0.2">
      <c r="A473" s="7"/>
      <c r="B473" s="82"/>
      <c r="C473" s="82"/>
      <c r="D473" s="82"/>
      <c r="E473" s="82"/>
      <c r="F473" s="91"/>
      <c r="G473" s="6"/>
      <c r="H473" s="6"/>
      <c r="I473" s="6"/>
    </row>
    <row r="474" spans="1:9" x14ac:dyDescent="0.2">
      <c r="A474" s="7"/>
      <c r="B474" s="82"/>
      <c r="C474" s="82"/>
      <c r="D474" s="82"/>
      <c r="E474" s="82"/>
      <c r="F474" s="91"/>
      <c r="G474" s="6"/>
      <c r="H474" s="6"/>
      <c r="I474" s="6"/>
    </row>
    <row r="475" spans="1:9" x14ac:dyDescent="0.2">
      <c r="A475" s="7"/>
      <c r="B475" s="82"/>
      <c r="C475" s="82"/>
      <c r="D475" s="82"/>
      <c r="E475" s="82"/>
      <c r="F475" s="91"/>
      <c r="G475" s="6"/>
      <c r="H475" s="6"/>
      <c r="I475" s="6"/>
    </row>
    <row r="476" spans="1:9" x14ac:dyDescent="0.2">
      <c r="A476" s="7"/>
      <c r="B476" s="82"/>
      <c r="C476" s="82"/>
      <c r="D476" s="82"/>
      <c r="E476" s="82"/>
      <c r="F476" s="91"/>
      <c r="G476" s="6"/>
      <c r="H476" s="6"/>
      <c r="I476" s="6"/>
    </row>
    <row r="477" spans="1:9" x14ac:dyDescent="0.2">
      <c r="A477" s="7"/>
      <c r="B477" s="82"/>
      <c r="C477" s="82"/>
      <c r="D477" s="82"/>
      <c r="E477" s="82"/>
      <c r="F477" s="91"/>
      <c r="G477" s="6"/>
      <c r="H477" s="6"/>
      <c r="I477" s="6"/>
    </row>
    <row r="478" spans="1:9" x14ac:dyDescent="0.2">
      <c r="A478" s="7"/>
      <c r="B478" s="82"/>
      <c r="C478" s="82"/>
      <c r="D478" s="82"/>
      <c r="E478" s="82"/>
      <c r="F478" s="91"/>
      <c r="G478" s="6"/>
      <c r="H478" s="6"/>
      <c r="I478" s="6"/>
    </row>
    <row r="479" spans="1:9" x14ac:dyDescent="0.2">
      <c r="A479" s="7"/>
      <c r="B479" s="82"/>
      <c r="C479" s="82"/>
      <c r="D479" s="82"/>
      <c r="E479" s="82"/>
      <c r="F479" s="91"/>
      <c r="G479" s="6"/>
      <c r="H479" s="6"/>
      <c r="I479" s="6"/>
    </row>
    <row r="480" spans="1:9" x14ac:dyDescent="0.2">
      <c r="A480" s="7"/>
      <c r="B480" s="82"/>
      <c r="C480" s="82"/>
      <c r="D480" s="82"/>
      <c r="E480" s="82"/>
      <c r="F480" s="91"/>
      <c r="G480" s="6"/>
      <c r="H480" s="6"/>
      <c r="I480" s="6"/>
    </row>
    <row r="481" spans="1:9" x14ac:dyDescent="0.2">
      <c r="A481" s="7"/>
      <c r="B481" s="82"/>
      <c r="C481" s="82"/>
      <c r="D481" s="82"/>
      <c r="E481" s="82"/>
      <c r="F481" s="91"/>
      <c r="G481" s="6"/>
      <c r="H481" s="6"/>
      <c r="I481" s="6"/>
    </row>
    <row r="482" spans="1:9" x14ac:dyDescent="0.2">
      <c r="A482" s="7"/>
      <c r="B482" s="82"/>
      <c r="C482" s="82"/>
      <c r="D482" s="82"/>
      <c r="E482" s="82"/>
      <c r="F482" s="91"/>
      <c r="G482" s="6"/>
      <c r="H482" s="6"/>
      <c r="I482" s="6"/>
    </row>
    <row r="483" spans="1:9" x14ac:dyDescent="0.2">
      <c r="A483" s="7"/>
      <c r="B483" s="82"/>
      <c r="C483" s="82"/>
      <c r="D483" s="82"/>
      <c r="E483" s="82"/>
      <c r="F483" s="91"/>
      <c r="G483" s="6"/>
      <c r="H483" s="6"/>
      <c r="I483" s="6"/>
    </row>
    <row r="484" spans="1:9" x14ac:dyDescent="0.2">
      <c r="A484" s="7"/>
      <c r="B484" s="82"/>
      <c r="C484" s="82"/>
      <c r="D484" s="82"/>
      <c r="E484" s="82"/>
      <c r="F484" s="91"/>
      <c r="G484" s="6"/>
      <c r="H484" s="6"/>
      <c r="I484" s="6"/>
    </row>
    <row r="485" spans="1:9" x14ac:dyDescent="0.2">
      <c r="A485" s="7"/>
      <c r="B485" s="82"/>
      <c r="C485" s="82"/>
      <c r="D485" s="82"/>
      <c r="E485" s="82"/>
      <c r="F485" s="91"/>
      <c r="G485" s="6"/>
      <c r="H485" s="6"/>
      <c r="I485" s="6"/>
    </row>
    <row r="486" spans="1:9" x14ac:dyDescent="0.2">
      <c r="A486" s="7"/>
      <c r="B486" s="82"/>
      <c r="C486" s="82"/>
      <c r="D486" s="82"/>
      <c r="E486" s="82"/>
      <c r="F486" s="91"/>
      <c r="G486" s="6"/>
      <c r="H486" s="6"/>
      <c r="I486" s="6"/>
    </row>
    <row r="487" spans="1:9" x14ac:dyDescent="0.2">
      <c r="A487" s="7"/>
      <c r="B487" s="82"/>
      <c r="C487" s="82"/>
      <c r="D487" s="82"/>
      <c r="E487" s="82"/>
      <c r="F487" s="91"/>
      <c r="G487" s="6"/>
      <c r="H487" s="6"/>
      <c r="I487" s="6"/>
    </row>
    <row r="488" spans="1:9" x14ac:dyDescent="0.2">
      <c r="A488" s="7"/>
      <c r="B488" s="82"/>
      <c r="C488" s="82"/>
      <c r="D488" s="82"/>
      <c r="E488" s="82"/>
      <c r="F488" s="91"/>
      <c r="G488" s="6"/>
      <c r="H488" s="6"/>
      <c r="I488" s="6"/>
    </row>
    <row r="489" spans="1:9" x14ac:dyDescent="0.2">
      <c r="A489" s="7"/>
      <c r="B489" s="82"/>
      <c r="C489" s="82"/>
      <c r="D489" s="82"/>
      <c r="E489" s="82"/>
      <c r="F489" s="91"/>
      <c r="G489" s="6"/>
      <c r="H489" s="6"/>
      <c r="I489" s="6"/>
    </row>
    <row r="490" spans="1:9" x14ac:dyDescent="0.2">
      <c r="A490" s="7"/>
      <c r="B490" s="82"/>
      <c r="C490" s="82"/>
      <c r="D490" s="82"/>
      <c r="E490" s="82"/>
      <c r="F490" s="91"/>
      <c r="G490" s="6"/>
      <c r="H490" s="6"/>
      <c r="I490" s="6"/>
    </row>
    <row r="491" spans="1:9" x14ac:dyDescent="0.2">
      <c r="A491" s="7"/>
      <c r="B491" s="82"/>
      <c r="C491" s="82"/>
      <c r="D491" s="82"/>
      <c r="E491" s="82"/>
      <c r="F491" s="91"/>
      <c r="G491" s="6"/>
      <c r="H491" s="6"/>
      <c r="I491" s="6"/>
    </row>
    <row r="492" spans="1:9" x14ac:dyDescent="0.2">
      <c r="A492" s="7"/>
      <c r="B492" s="82"/>
      <c r="C492" s="82"/>
      <c r="D492" s="82"/>
      <c r="E492" s="82"/>
      <c r="F492" s="91"/>
      <c r="G492" s="6"/>
      <c r="H492" s="6"/>
      <c r="I492" s="6"/>
    </row>
    <row r="493" spans="1:9" x14ac:dyDescent="0.2">
      <c r="A493" s="7"/>
      <c r="B493" s="82"/>
      <c r="C493" s="82"/>
      <c r="D493" s="82"/>
      <c r="E493" s="82"/>
      <c r="F493" s="91"/>
      <c r="G493" s="6"/>
      <c r="H493" s="6"/>
      <c r="I493" s="6"/>
    </row>
    <row r="494" spans="1:9" x14ac:dyDescent="0.2">
      <c r="A494" s="7"/>
      <c r="B494" s="82"/>
      <c r="C494" s="82"/>
      <c r="D494" s="82"/>
      <c r="E494" s="82"/>
      <c r="F494" s="91"/>
      <c r="G494" s="6"/>
      <c r="H494" s="6"/>
      <c r="I494" s="6"/>
    </row>
    <row r="495" spans="1:9" x14ac:dyDescent="0.2">
      <c r="A495" s="7"/>
      <c r="B495" s="82"/>
      <c r="C495" s="82"/>
      <c r="D495" s="82"/>
      <c r="E495" s="82"/>
      <c r="F495" s="91"/>
      <c r="G495" s="6"/>
      <c r="H495" s="6"/>
      <c r="I495" s="6"/>
    </row>
    <row r="496" spans="1:9" x14ac:dyDescent="0.2">
      <c r="A496" s="7"/>
      <c r="B496" s="82"/>
      <c r="C496" s="82"/>
      <c r="D496" s="82"/>
      <c r="E496" s="82"/>
      <c r="F496" s="91"/>
      <c r="G496" s="6"/>
      <c r="H496" s="6"/>
      <c r="I496" s="6"/>
    </row>
    <row r="497" spans="1:9" x14ac:dyDescent="0.2">
      <c r="A497" s="7"/>
      <c r="B497" s="82"/>
      <c r="C497" s="82"/>
      <c r="D497" s="82"/>
      <c r="E497" s="82"/>
      <c r="F497" s="91"/>
      <c r="G497" s="6"/>
      <c r="H497" s="6"/>
      <c r="I497" s="6"/>
    </row>
    <row r="498" spans="1:9" x14ac:dyDescent="0.2">
      <c r="A498" s="7"/>
      <c r="B498" s="82"/>
      <c r="C498" s="82"/>
      <c r="D498" s="82"/>
      <c r="E498" s="82"/>
      <c r="F498" s="91"/>
      <c r="G498" s="6"/>
      <c r="H498" s="6"/>
      <c r="I498" s="6"/>
    </row>
    <row r="499" spans="1:9" x14ac:dyDescent="0.2">
      <c r="A499" s="7"/>
      <c r="B499" s="82"/>
      <c r="C499" s="82"/>
      <c r="D499" s="82"/>
      <c r="E499" s="82"/>
      <c r="F499" s="91"/>
      <c r="G499" s="6"/>
      <c r="H499" s="6"/>
      <c r="I499" s="6"/>
    </row>
    <row r="500" spans="1:9" x14ac:dyDescent="0.2">
      <c r="A500" s="7"/>
      <c r="B500" s="82"/>
      <c r="C500" s="82"/>
      <c r="D500" s="82"/>
      <c r="E500" s="82"/>
      <c r="F500" s="91"/>
      <c r="G500" s="6"/>
      <c r="H500" s="6"/>
      <c r="I500" s="6"/>
    </row>
    <row r="501" spans="1:9" x14ac:dyDescent="0.2">
      <c r="A501" s="7"/>
      <c r="B501" s="82"/>
      <c r="C501" s="82"/>
      <c r="D501" s="82"/>
      <c r="E501" s="82"/>
      <c r="F501" s="91"/>
      <c r="G501" s="6"/>
      <c r="H501" s="6"/>
      <c r="I501" s="6"/>
    </row>
    <row r="502" spans="1:9" x14ac:dyDescent="0.2">
      <c r="A502" s="7"/>
      <c r="B502" s="82"/>
      <c r="C502" s="82"/>
      <c r="D502" s="82"/>
      <c r="E502" s="82"/>
      <c r="F502" s="91"/>
      <c r="G502" s="6"/>
      <c r="H502" s="6"/>
      <c r="I502" s="6"/>
    </row>
    <row r="503" spans="1:9" x14ac:dyDescent="0.2">
      <c r="A503" s="7"/>
      <c r="B503" s="82"/>
      <c r="C503" s="82"/>
      <c r="D503" s="82"/>
      <c r="E503" s="82"/>
      <c r="F503" s="91"/>
      <c r="G503" s="6"/>
      <c r="H503" s="6"/>
      <c r="I503" s="6"/>
    </row>
    <row r="504" spans="1:9" x14ac:dyDescent="0.2">
      <c r="A504" s="7"/>
      <c r="B504" s="82"/>
      <c r="C504" s="82"/>
      <c r="D504" s="82"/>
      <c r="E504" s="82"/>
      <c r="F504" s="91"/>
      <c r="G504" s="6"/>
      <c r="H504" s="6"/>
      <c r="I504" s="6"/>
    </row>
    <row r="505" spans="1:9" x14ac:dyDescent="0.2">
      <c r="A505" s="7"/>
      <c r="B505" s="82"/>
      <c r="C505" s="82"/>
      <c r="D505" s="82"/>
      <c r="E505" s="82"/>
      <c r="F505" s="91"/>
      <c r="G505" s="6"/>
      <c r="H505" s="6"/>
      <c r="I505" s="6"/>
    </row>
    <row r="506" spans="1:9" x14ac:dyDescent="0.2">
      <c r="A506" s="7"/>
      <c r="B506" s="82"/>
      <c r="C506" s="82"/>
      <c r="D506" s="82"/>
      <c r="E506" s="82"/>
      <c r="F506" s="91"/>
      <c r="G506" s="6"/>
      <c r="H506" s="6"/>
      <c r="I506" s="6"/>
    </row>
    <row r="507" spans="1:9" x14ac:dyDescent="0.2">
      <c r="A507" s="7"/>
      <c r="B507" s="82"/>
      <c r="C507" s="82"/>
      <c r="D507" s="82"/>
      <c r="E507" s="82"/>
      <c r="F507" s="91"/>
      <c r="G507" s="6"/>
      <c r="H507" s="6"/>
      <c r="I507" s="6"/>
    </row>
    <row r="508" spans="1:9" x14ac:dyDescent="0.2">
      <c r="A508" s="7"/>
      <c r="B508" s="82"/>
      <c r="C508" s="82"/>
      <c r="D508" s="82"/>
      <c r="E508" s="82"/>
      <c r="F508" s="91"/>
      <c r="G508" s="6"/>
      <c r="H508" s="6"/>
      <c r="I508" s="6"/>
    </row>
    <row r="509" spans="1:9" x14ac:dyDescent="0.2">
      <c r="A509" s="7"/>
      <c r="B509" s="82"/>
      <c r="C509" s="82"/>
      <c r="D509" s="82"/>
      <c r="E509" s="82"/>
      <c r="F509" s="91"/>
      <c r="G509" s="6"/>
      <c r="H509" s="6"/>
      <c r="I509" s="6"/>
    </row>
    <row r="510" spans="1:9" x14ac:dyDescent="0.2">
      <c r="A510" s="7"/>
      <c r="B510" s="82"/>
      <c r="C510" s="82"/>
      <c r="D510" s="82"/>
      <c r="E510" s="82"/>
      <c r="F510" s="91"/>
      <c r="G510" s="6"/>
      <c r="H510" s="6"/>
      <c r="I510" s="6"/>
    </row>
    <row r="511" spans="1:9" x14ac:dyDescent="0.2">
      <c r="A511" s="7"/>
      <c r="B511" s="82"/>
      <c r="C511" s="82"/>
      <c r="D511" s="82"/>
      <c r="E511" s="82"/>
      <c r="F511" s="91"/>
      <c r="G511" s="6"/>
      <c r="H511" s="6"/>
      <c r="I511" s="6"/>
    </row>
    <row r="512" spans="1:9" x14ac:dyDescent="0.2">
      <c r="A512" s="7"/>
      <c r="B512" s="82"/>
      <c r="C512" s="82"/>
      <c r="D512" s="82"/>
      <c r="E512" s="82"/>
      <c r="F512" s="91"/>
      <c r="G512" s="6"/>
      <c r="H512" s="6"/>
      <c r="I512" s="6"/>
    </row>
    <row r="513" spans="1:9" x14ac:dyDescent="0.2">
      <c r="A513" s="7"/>
      <c r="B513" s="82"/>
      <c r="C513" s="82"/>
      <c r="D513" s="82"/>
      <c r="E513" s="82"/>
      <c r="F513" s="91"/>
      <c r="G513" s="6"/>
      <c r="H513" s="6"/>
      <c r="I513" s="6"/>
    </row>
    <row r="514" spans="1:9" x14ac:dyDescent="0.2">
      <c r="A514" s="7"/>
      <c r="B514" s="82"/>
      <c r="C514" s="82"/>
      <c r="D514" s="82"/>
      <c r="E514" s="82"/>
      <c r="F514" s="91"/>
      <c r="G514" s="6"/>
      <c r="H514" s="6"/>
      <c r="I514" s="6"/>
    </row>
    <row r="515" spans="1:9" x14ac:dyDescent="0.2">
      <c r="A515" s="7"/>
      <c r="B515" s="82"/>
      <c r="C515" s="82"/>
      <c r="D515" s="82"/>
      <c r="E515" s="82"/>
      <c r="F515" s="91"/>
      <c r="G515" s="6"/>
      <c r="H515" s="6"/>
      <c r="I515" s="6"/>
    </row>
    <row r="516" spans="1:9" x14ac:dyDescent="0.2">
      <c r="A516" s="7"/>
      <c r="B516" s="82"/>
      <c r="C516" s="82"/>
      <c r="D516" s="82"/>
      <c r="E516" s="82"/>
      <c r="F516" s="91"/>
      <c r="G516" s="6"/>
      <c r="H516" s="6"/>
      <c r="I516" s="6"/>
    </row>
    <row r="517" spans="1:9" x14ac:dyDescent="0.2">
      <c r="A517" s="7"/>
      <c r="B517" s="82"/>
      <c r="C517" s="82"/>
      <c r="D517" s="82"/>
      <c r="E517" s="82"/>
      <c r="F517" s="91"/>
      <c r="G517" s="6"/>
      <c r="H517" s="6"/>
      <c r="I517" s="6"/>
    </row>
    <row r="518" spans="1:9" x14ac:dyDescent="0.2">
      <c r="A518" s="7"/>
      <c r="B518" s="82"/>
      <c r="C518" s="82"/>
      <c r="D518" s="82"/>
      <c r="E518" s="82"/>
      <c r="F518" s="91"/>
      <c r="G518" s="6"/>
      <c r="H518" s="6"/>
      <c r="I518" s="6"/>
    </row>
    <row r="519" spans="1:9" x14ac:dyDescent="0.2">
      <c r="A519" s="7"/>
      <c r="B519" s="82"/>
      <c r="C519" s="82"/>
      <c r="D519" s="82"/>
      <c r="E519" s="82"/>
      <c r="F519" s="91"/>
      <c r="G519" s="6"/>
      <c r="H519" s="6"/>
      <c r="I519" s="6"/>
    </row>
    <row r="520" spans="1:9" x14ac:dyDescent="0.2">
      <c r="A520" s="7"/>
      <c r="B520" s="82"/>
      <c r="C520" s="82"/>
      <c r="D520" s="82"/>
      <c r="E520" s="82"/>
      <c r="F520" s="91"/>
      <c r="G520" s="6"/>
      <c r="H520" s="6"/>
      <c r="I520" s="6"/>
    </row>
    <row r="521" spans="1:9" x14ac:dyDescent="0.2">
      <c r="A521" s="7"/>
      <c r="B521" s="82"/>
      <c r="C521" s="82"/>
      <c r="D521" s="82"/>
      <c r="E521" s="82"/>
      <c r="F521" s="91"/>
      <c r="G521" s="6"/>
      <c r="H521" s="6"/>
      <c r="I521" s="6"/>
    </row>
    <row r="522" spans="1:9" x14ac:dyDescent="0.2">
      <c r="A522" s="7"/>
      <c r="B522" s="82"/>
      <c r="C522" s="82"/>
      <c r="D522" s="82"/>
      <c r="E522" s="82"/>
      <c r="F522" s="91"/>
      <c r="G522" s="6"/>
      <c r="H522" s="6"/>
      <c r="I522" s="6"/>
    </row>
    <row r="523" spans="1:9" x14ac:dyDescent="0.2">
      <c r="A523" s="7"/>
      <c r="B523" s="82"/>
      <c r="C523" s="82"/>
      <c r="D523" s="82"/>
      <c r="E523" s="82"/>
      <c r="F523" s="91"/>
      <c r="G523" s="6"/>
      <c r="H523" s="6"/>
      <c r="I523" s="6"/>
    </row>
    <row r="524" spans="1:9" x14ac:dyDescent="0.2">
      <c r="A524" s="7"/>
      <c r="B524" s="82"/>
      <c r="C524" s="82"/>
      <c r="D524" s="82"/>
      <c r="E524" s="82"/>
      <c r="F524" s="91"/>
      <c r="G524" s="6"/>
      <c r="H524" s="6"/>
      <c r="I524" s="6"/>
    </row>
    <row r="525" spans="1:9" x14ac:dyDescent="0.2">
      <c r="A525" s="7"/>
      <c r="B525" s="82"/>
      <c r="C525" s="82"/>
      <c r="D525" s="82"/>
      <c r="E525" s="82"/>
      <c r="F525" s="91"/>
      <c r="G525" s="6"/>
      <c r="H525" s="6"/>
      <c r="I525" s="6"/>
    </row>
    <row r="526" spans="1:9" x14ac:dyDescent="0.2">
      <c r="A526" s="7"/>
      <c r="B526" s="82"/>
      <c r="C526" s="82"/>
      <c r="D526" s="82"/>
      <c r="E526" s="82"/>
      <c r="F526" s="91"/>
      <c r="G526" s="6"/>
      <c r="H526" s="6"/>
      <c r="I526" s="6"/>
    </row>
    <row r="527" spans="1:9" x14ac:dyDescent="0.2">
      <c r="A527" s="7"/>
      <c r="B527" s="82"/>
      <c r="C527" s="82"/>
      <c r="D527" s="82"/>
      <c r="E527" s="82"/>
      <c r="F527" s="91"/>
      <c r="G527" s="6"/>
      <c r="H527" s="6"/>
      <c r="I527" s="6"/>
    </row>
    <row r="528" spans="1:9" x14ac:dyDescent="0.2">
      <c r="A528" s="7"/>
      <c r="B528" s="82"/>
      <c r="C528" s="82"/>
      <c r="D528" s="82"/>
      <c r="E528" s="82"/>
      <c r="F528" s="91"/>
      <c r="G528" s="6"/>
      <c r="H528" s="6"/>
      <c r="I528" s="6"/>
    </row>
    <row r="529" spans="1:9" x14ac:dyDescent="0.2">
      <c r="A529" s="7"/>
      <c r="B529" s="82"/>
      <c r="C529" s="82"/>
      <c r="D529" s="82"/>
      <c r="E529" s="82"/>
      <c r="F529" s="91"/>
      <c r="G529" s="6"/>
      <c r="H529" s="6"/>
      <c r="I529" s="6"/>
    </row>
    <row r="530" spans="1:9" x14ac:dyDescent="0.2">
      <c r="A530" s="7"/>
      <c r="B530" s="82"/>
      <c r="C530" s="82"/>
      <c r="D530" s="82"/>
      <c r="E530" s="82"/>
      <c r="F530" s="91"/>
      <c r="G530" s="6"/>
      <c r="H530" s="6"/>
      <c r="I530" s="6"/>
    </row>
    <row r="531" spans="1:9" x14ac:dyDescent="0.2">
      <c r="A531" s="7"/>
      <c r="B531" s="82"/>
      <c r="C531" s="82"/>
      <c r="D531" s="82"/>
      <c r="E531" s="82"/>
      <c r="F531" s="91"/>
      <c r="G531" s="6"/>
      <c r="H531" s="6"/>
      <c r="I531" s="6"/>
    </row>
    <row r="532" spans="1:9" x14ac:dyDescent="0.2">
      <c r="A532" s="7"/>
      <c r="B532" s="82"/>
      <c r="C532" s="82"/>
      <c r="D532" s="82"/>
      <c r="E532" s="82"/>
      <c r="F532" s="91"/>
      <c r="G532" s="6"/>
      <c r="H532" s="6"/>
      <c r="I532" s="6"/>
    </row>
    <row r="533" spans="1:9" x14ac:dyDescent="0.2">
      <c r="A533" s="7"/>
      <c r="B533" s="82"/>
      <c r="C533" s="82"/>
      <c r="D533" s="82"/>
      <c r="E533" s="82"/>
      <c r="F533" s="91"/>
      <c r="G533" s="6"/>
      <c r="H533" s="6"/>
      <c r="I533" s="6"/>
    </row>
    <row r="534" spans="1:9" x14ac:dyDescent="0.2">
      <c r="A534" s="7"/>
      <c r="B534" s="82"/>
      <c r="C534" s="82"/>
      <c r="D534" s="82"/>
      <c r="E534" s="82"/>
      <c r="F534" s="91"/>
      <c r="G534" s="6"/>
      <c r="H534" s="6"/>
      <c r="I534" s="6"/>
    </row>
    <row r="535" spans="1:9" x14ac:dyDescent="0.2">
      <c r="A535" s="7"/>
      <c r="B535" s="82"/>
      <c r="C535" s="82"/>
      <c r="D535" s="82"/>
      <c r="E535" s="82"/>
      <c r="F535" s="91"/>
      <c r="G535" s="6"/>
      <c r="H535" s="6"/>
      <c r="I535" s="6"/>
    </row>
    <row r="536" spans="1:9" x14ac:dyDescent="0.2">
      <c r="A536" s="7"/>
      <c r="B536" s="82"/>
      <c r="C536" s="82"/>
      <c r="D536" s="82"/>
      <c r="E536" s="82"/>
      <c r="F536" s="91"/>
      <c r="G536" s="6"/>
      <c r="H536" s="6"/>
      <c r="I536" s="6"/>
    </row>
    <row r="537" spans="1:9" x14ac:dyDescent="0.2">
      <c r="A537" s="7"/>
      <c r="B537" s="82"/>
      <c r="C537" s="82"/>
      <c r="D537" s="82"/>
      <c r="E537" s="82"/>
      <c r="F537" s="91"/>
      <c r="G537" s="6"/>
      <c r="H537" s="6"/>
      <c r="I537" s="6"/>
    </row>
    <row r="538" spans="1:9" x14ac:dyDescent="0.2">
      <c r="A538" s="7"/>
      <c r="B538" s="82"/>
      <c r="C538" s="82"/>
      <c r="D538" s="82"/>
      <c r="E538" s="82"/>
      <c r="F538" s="91"/>
      <c r="G538" s="6"/>
      <c r="H538" s="6"/>
      <c r="I538" s="6"/>
    </row>
    <row r="539" spans="1:9" x14ac:dyDescent="0.2">
      <c r="A539" s="7"/>
      <c r="B539" s="82"/>
      <c r="C539" s="82"/>
      <c r="D539" s="82"/>
      <c r="E539" s="82"/>
      <c r="F539" s="91"/>
      <c r="G539" s="6"/>
      <c r="H539" s="6"/>
      <c r="I539" s="6"/>
    </row>
    <row r="540" spans="1:9" x14ac:dyDescent="0.2">
      <c r="A540" s="7"/>
      <c r="B540" s="82"/>
      <c r="C540" s="82"/>
      <c r="D540" s="82"/>
      <c r="E540" s="82"/>
      <c r="F540" s="91"/>
      <c r="G540" s="6"/>
      <c r="H540" s="6"/>
      <c r="I540" s="6"/>
    </row>
    <row r="541" spans="1:9" x14ac:dyDescent="0.2">
      <c r="A541" s="7"/>
      <c r="B541" s="82"/>
      <c r="C541" s="82"/>
      <c r="D541" s="82"/>
      <c r="E541" s="82"/>
      <c r="F541" s="91"/>
      <c r="G541" s="6"/>
      <c r="H541" s="6"/>
      <c r="I541" s="6"/>
    </row>
    <row r="542" spans="1:9" x14ac:dyDescent="0.2">
      <c r="A542" s="7"/>
      <c r="B542" s="82"/>
      <c r="C542" s="82"/>
      <c r="D542" s="82"/>
      <c r="E542" s="82"/>
      <c r="F542" s="91"/>
      <c r="G542" s="6"/>
      <c r="H542" s="6"/>
      <c r="I542" s="6"/>
    </row>
    <row r="543" spans="1:9" x14ac:dyDescent="0.2">
      <c r="A543" s="7"/>
      <c r="B543" s="82"/>
      <c r="C543" s="82"/>
      <c r="D543" s="82"/>
      <c r="E543" s="82"/>
      <c r="F543" s="91"/>
      <c r="G543" s="6"/>
      <c r="H543" s="6"/>
      <c r="I543" s="6"/>
    </row>
    <row r="544" spans="1:9" x14ac:dyDescent="0.2">
      <c r="A544" s="7"/>
      <c r="B544" s="82"/>
      <c r="C544" s="82"/>
      <c r="D544" s="82"/>
      <c r="E544" s="82"/>
      <c r="F544" s="91"/>
      <c r="G544" s="6"/>
      <c r="H544" s="6"/>
      <c r="I544" s="6"/>
    </row>
    <row r="545" spans="1:9" x14ac:dyDescent="0.2">
      <c r="A545" s="7"/>
      <c r="B545" s="82"/>
      <c r="C545" s="82"/>
      <c r="D545" s="82"/>
      <c r="E545" s="82"/>
      <c r="F545" s="91"/>
      <c r="G545" s="6"/>
      <c r="H545" s="6"/>
      <c r="I545" s="6"/>
    </row>
    <row r="546" spans="1:9" x14ac:dyDescent="0.2">
      <c r="A546" s="7"/>
      <c r="B546" s="82"/>
      <c r="C546" s="82"/>
      <c r="D546" s="82"/>
      <c r="E546" s="82"/>
      <c r="F546" s="91"/>
      <c r="G546" s="6"/>
      <c r="H546" s="6"/>
      <c r="I546" s="6"/>
    </row>
    <row r="547" spans="1:9" x14ac:dyDescent="0.2">
      <c r="A547" s="7"/>
      <c r="B547" s="82"/>
      <c r="C547" s="82"/>
      <c r="D547" s="82"/>
      <c r="E547" s="82"/>
      <c r="F547" s="91"/>
      <c r="G547" s="6"/>
      <c r="H547" s="6"/>
      <c r="I547" s="6"/>
    </row>
    <row r="548" spans="1:9" x14ac:dyDescent="0.2">
      <c r="A548" s="7"/>
      <c r="B548" s="82"/>
      <c r="C548" s="82"/>
      <c r="D548" s="82"/>
      <c r="E548" s="82"/>
      <c r="F548" s="91"/>
      <c r="G548" s="6"/>
      <c r="H548" s="6"/>
      <c r="I548" s="6"/>
    </row>
    <row r="549" spans="1:9" x14ac:dyDescent="0.2">
      <c r="A549" s="7"/>
      <c r="B549" s="82"/>
      <c r="C549" s="82"/>
      <c r="D549" s="82"/>
      <c r="E549" s="82"/>
      <c r="F549" s="91"/>
      <c r="G549" s="6"/>
      <c r="H549" s="6"/>
      <c r="I549" s="6"/>
    </row>
    <row r="550" spans="1:9" x14ac:dyDescent="0.2">
      <c r="A550" s="7"/>
      <c r="B550" s="82"/>
      <c r="C550" s="82"/>
      <c r="D550" s="82"/>
      <c r="E550" s="82"/>
      <c r="F550" s="91"/>
      <c r="G550" s="6"/>
      <c r="H550" s="6"/>
      <c r="I550" s="6"/>
    </row>
    <row r="551" spans="1:9" x14ac:dyDescent="0.2">
      <c r="A551" s="7"/>
      <c r="B551" s="82"/>
      <c r="C551" s="82"/>
      <c r="D551" s="82"/>
      <c r="E551" s="82"/>
      <c r="F551" s="91"/>
      <c r="G551" s="6"/>
      <c r="H551" s="6"/>
      <c r="I551" s="6"/>
    </row>
    <row r="552" spans="1:9" x14ac:dyDescent="0.2">
      <c r="A552" s="7"/>
      <c r="B552" s="82"/>
      <c r="C552" s="82"/>
      <c r="D552" s="82"/>
      <c r="E552" s="82"/>
      <c r="F552" s="91"/>
      <c r="G552" s="6"/>
      <c r="H552" s="6"/>
      <c r="I552" s="6"/>
    </row>
    <row r="553" spans="1:9" x14ac:dyDescent="0.2">
      <c r="A553" s="7"/>
      <c r="B553" s="82"/>
      <c r="C553" s="82"/>
      <c r="D553" s="82"/>
      <c r="E553" s="82"/>
      <c r="F553" s="91"/>
      <c r="G553" s="6"/>
      <c r="H553" s="6"/>
      <c r="I553" s="6"/>
    </row>
    <row r="554" spans="1:9" x14ac:dyDescent="0.2">
      <c r="A554" s="7"/>
      <c r="B554" s="82"/>
      <c r="C554" s="82"/>
      <c r="D554" s="82"/>
      <c r="E554" s="82"/>
      <c r="F554" s="91"/>
      <c r="G554" s="6"/>
      <c r="H554" s="6"/>
      <c r="I554" s="6"/>
    </row>
    <row r="555" spans="1:9" x14ac:dyDescent="0.2">
      <c r="A555" s="7"/>
      <c r="B555" s="82"/>
      <c r="C555" s="82"/>
      <c r="D555" s="82"/>
      <c r="E555" s="82"/>
      <c r="F555" s="91"/>
      <c r="G555" s="6"/>
      <c r="H555" s="6"/>
      <c r="I555" s="6"/>
    </row>
    <row r="556" spans="1:9" x14ac:dyDescent="0.2">
      <c r="A556" s="7"/>
      <c r="B556" s="82"/>
      <c r="C556" s="82"/>
      <c r="D556" s="82"/>
      <c r="E556" s="82"/>
      <c r="F556" s="91"/>
      <c r="G556" s="6"/>
      <c r="H556" s="6"/>
      <c r="I556" s="6"/>
    </row>
    <row r="557" spans="1:9" x14ac:dyDescent="0.2">
      <c r="A557" s="7"/>
      <c r="B557" s="82"/>
      <c r="C557" s="82"/>
      <c r="D557" s="82"/>
      <c r="E557" s="82"/>
      <c r="F557" s="91"/>
      <c r="G557" s="6"/>
      <c r="H557" s="6"/>
      <c r="I557" s="6"/>
    </row>
    <row r="558" spans="1:9" x14ac:dyDescent="0.2">
      <c r="A558" s="7"/>
      <c r="B558" s="82"/>
      <c r="C558" s="82"/>
      <c r="D558" s="82"/>
      <c r="E558" s="82"/>
      <c r="F558" s="91"/>
      <c r="G558" s="6"/>
      <c r="H558" s="6"/>
      <c r="I558" s="6"/>
    </row>
    <row r="559" spans="1:9" x14ac:dyDescent="0.2">
      <c r="A559" s="7"/>
      <c r="B559" s="82"/>
      <c r="C559" s="82"/>
      <c r="D559" s="82"/>
      <c r="E559" s="82"/>
      <c r="F559" s="91"/>
      <c r="G559" s="6"/>
      <c r="H559" s="6"/>
      <c r="I559" s="6"/>
    </row>
    <row r="560" spans="1:9" x14ac:dyDescent="0.2">
      <c r="A560" s="7"/>
      <c r="B560" s="82"/>
      <c r="C560" s="82"/>
      <c r="D560" s="82"/>
      <c r="E560" s="82"/>
      <c r="F560" s="91"/>
      <c r="G560" s="6"/>
      <c r="H560" s="6"/>
      <c r="I560" s="6"/>
    </row>
    <row r="561" spans="1:9" x14ac:dyDescent="0.2">
      <c r="A561" s="7"/>
      <c r="B561" s="82"/>
      <c r="C561" s="82"/>
      <c r="D561" s="82"/>
      <c r="E561" s="82"/>
      <c r="F561" s="91"/>
      <c r="G561" s="6"/>
      <c r="H561" s="6"/>
      <c r="I561" s="6"/>
    </row>
    <row r="562" spans="1:9" x14ac:dyDescent="0.2">
      <c r="A562" s="7"/>
      <c r="B562" s="82"/>
      <c r="C562" s="82"/>
      <c r="D562" s="82"/>
      <c r="E562" s="82"/>
      <c r="F562" s="91"/>
      <c r="G562" s="6"/>
      <c r="H562" s="6"/>
      <c r="I562" s="6"/>
    </row>
    <row r="563" spans="1:9" x14ac:dyDescent="0.2">
      <c r="A563" s="7"/>
      <c r="B563" s="82"/>
      <c r="C563" s="82"/>
      <c r="D563" s="82"/>
      <c r="E563" s="82"/>
      <c r="F563" s="91"/>
      <c r="G563" s="6"/>
      <c r="H563" s="6"/>
      <c r="I563" s="6"/>
    </row>
    <row r="564" spans="1:9" x14ac:dyDescent="0.2">
      <c r="A564" s="7"/>
      <c r="B564" s="82"/>
      <c r="C564" s="82"/>
      <c r="D564" s="82"/>
      <c r="E564" s="82"/>
      <c r="F564" s="91"/>
      <c r="G564" s="6"/>
      <c r="H564" s="6"/>
      <c r="I564" s="6"/>
    </row>
    <row r="565" spans="1:9" x14ac:dyDescent="0.2">
      <c r="A565" s="7"/>
      <c r="B565" s="82"/>
      <c r="C565" s="82"/>
      <c r="D565" s="82"/>
      <c r="E565" s="82"/>
      <c r="F565" s="91"/>
      <c r="G565" s="6"/>
      <c r="H565" s="6"/>
      <c r="I565" s="6"/>
    </row>
    <row r="566" spans="1:9" x14ac:dyDescent="0.2">
      <c r="A566" s="7"/>
      <c r="B566" s="82"/>
      <c r="C566" s="82"/>
      <c r="D566" s="82"/>
      <c r="E566" s="82"/>
      <c r="F566" s="91"/>
      <c r="G566" s="6"/>
      <c r="H566" s="6"/>
      <c r="I566" s="6"/>
    </row>
    <row r="567" spans="1:9" x14ac:dyDescent="0.2">
      <c r="A567" s="7"/>
      <c r="B567" s="82"/>
      <c r="C567" s="82"/>
      <c r="D567" s="82"/>
      <c r="E567" s="82"/>
      <c r="F567" s="91"/>
      <c r="G567" s="6"/>
      <c r="H567" s="6"/>
      <c r="I567" s="6"/>
    </row>
    <row r="568" spans="1:9" x14ac:dyDescent="0.2">
      <c r="A568" s="7"/>
      <c r="B568" s="82"/>
      <c r="C568" s="82"/>
      <c r="D568" s="82"/>
      <c r="E568" s="82"/>
      <c r="F568" s="91"/>
      <c r="G568" s="6"/>
      <c r="H568" s="6"/>
      <c r="I568" s="6"/>
    </row>
    <row r="569" spans="1:9" x14ac:dyDescent="0.2">
      <c r="A569" s="7"/>
      <c r="B569" s="82"/>
      <c r="C569" s="82"/>
      <c r="D569" s="82"/>
      <c r="E569" s="82"/>
      <c r="F569" s="91"/>
      <c r="G569" s="6"/>
      <c r="H569" s="6"/>
      <c r="I569" s="6"/>
    </row>
    <row r="570" spans="1:9" x14ac:dyDescent="0.2">
      <c r="A570" s="7"/>
      <c r="B570" s="82"/>
      <c r="C570" s="82"/>
      <c r="D570" s="82"/>
      <c r="E570" s="82"/>
      <c r="F570" s="91"/>
      <c r="G570" s="6"/>
      <c r="H570" s="6"/>
      <c r="I570" s="6"/>
    </row>
    <row r="571" spans="1:9" x14ac:dyDescent="0.2">
      <c r="A571" s="7"/>
      <c r="B571" s="82"/>
      <c r="C571" s="82"/>
      <c r="D571" s="82"/>
      <c r="E571" s="82"/>
      <c r="F571" s="91"/>
      <c r="G571" s="6"/>
      <c r="H571" s="6"/>
      <c r="I571" s="6"/>
    </row>
    <row r="572" spans="1:9" x14ac:dyDescent="0.2">
      <c r="A572" s="7"/>
      <c r="B572" s="82"/>
      <c r="C572" s="82"/>
      <c r="D572" s="82"/>
      <c r="E572" s="82"/>
      <c r="F572" s="91"/>
      <c r="G572" s="6"/>
      <c r="H572" s="6"/>
      <c r="I572" s="6"/>
    </row>
    <row r="573" spans="1:9" x14ac:dyDescent="0.2">
      <c r="A573" s="7"/>
      <c r="B573" s="82"/>
      <c r="C573" s="82"/>
      <c r="D573" s="82"/>
      <c r="E573" s="82"/>
      <c r="F573" s="91"/>
      <c r="G573" s="6"/>
      <c r="H573" s="6"/>
      <c r="I573" s="6"/>
    </row>
    <row r="574" spans="1:9" x14ac:dyDescent="0.2">
      <c r="A574" s="7"/>
      <c r="B574" s="82"/>
      <c r="C574" s="82"/>
      <c r="D574" s="82"/>
      <c r="E574" s="82"/>
      <c r="F574" s="91"/>
      <c r="G574" s="6"/>
      <c r="H574" s="6"/>
      <c r="I574" s="6"/>
    </row>
    <row r="575" spans="1:9" x14ac:dyDescent="0.2">
      <c r="A575" s="7"/>
      <c r="B575" s="82"/>
      <c r="C575" s="82"/>
      <c r="D575" s="82"/>
      <c r="E575" s="82"/>
      <c r="F575" s="91"/>
      <c r="G575" s="6"/>
      <c r="H575" s="6"/>
      <c r="I575" s="6"/>
    </row>
    <row r="576" spans="1:9" x14ac:dyDescent="0.2">
      <c r="A576" s="7"/>
      <c r="B576" s="82"/>
      <c r="C576" s="82"/>
      <c r="D576" s="82"/>
      <c r="E576" s="82"/>
      <c r="F576" s="91"/>
      <c r="G576" s="6"/>
      <c r="H576" s="6"/>
      <c r="I576" s="6"/>
    </row>
    <row r="577" spans="1:9" x14ac:dyDescent="0.2">
      <c r="A577" s="7"/>
      <c r="B577" s="82"/>
      <c r="C577" s="82"/>
      <c r="D577" s="82"/>
      <c r="E577" s="82"/>
      <c r="F577" s="91"/>
      <c r="G577" s="6"/>
      <c r="H577" s="6"/>
      <c r="I577" s="6"/>
    </row>
    <row r="578" spans="1:9" x14ac:dyDescent="0.2">
      <c r="A578" s="7"/>
      <c r="B578" s="82"/>
      <c r="C578" s="82"/>
      <c r="D578" s="82"/>
      <c r="E578" s="82"/>
      <c r="F578" s="91"/>
      <c r="G578" s="6"/>
      <c r="H578" s="6"/>
      <c r="I578" s="6"/>
    </row>
    <row r="579" spans="1:9" x14ac:dyDescent="0.2">
      <c r="A579" s="7"/>
      <c r="B579" s="82"/>
      <c r="C579" s="82"/>
      <c r="D579" s="82"/>
      <c r="E579" s="82"/>
      <c r="F579" s="91"/>
      <c r="G579" s="6"/>
      <c r="H579" s="6"/>
      <c r="I579" s="6"/>
    </row>
    <row r="580" spans="1:9" x14ac:dyDescent="0.2">
      <c r="A580" s="7"/>
      <c r="B580" s="82"/>
      <c r="C580" s="82"/>
      <c r="D580" s="82"/>
      <c r="E580" s="82"/>
      <c r="F580" s="91"/>
      <c r="G580" s="6"/>
      <c r="H580" s="6"/>
      <c r="I580" s="6"/>
    </row>
    <row r="581" spans="1:9" x14ac:dyDescent="0.2">
      <c r="A581" s="7"/>
      <c r="B581" s="82"/>
      <c r="C581" s="82"/>
      <c r="D581" s="82"/>
      <c r="E581" s="82"/>
      <c r="F581" s="91"/>
      <c r="G581" s="6"/>
      <c r="H581" s="6"/>
      <c r="I581" s="6"/>
    </row>
    <row r="582" spans="1:9" x14ac:dyDescent="0.2">
      <c r="A582" s="7"/>
      <c r="B582" s="82"/>
      <c r="C582" s="82"/>
      <c r="D582" s="82"/>
      <c r="E582" s="82"/>
      <c r="F582" s="91"/>
      <c r="G582" s="6"/>
      <c r="H582" s="6"/>
      <c r="I582" s="6"/>
    </row>
    <row r="583" spans="1:9" x14ac:dyDescent="0.2">
      <c r="A583" s="7"/>
      <c r="B583" s="82"/>
      <c r="C583" s="82"/>
      <c r="D583" s="82"/>
      <c r="E583" s="82"/>
      <c r="F583" s="91"/>
      <c r="G583" s="6"/>
      <c r="H583" s="6"/>
      <c r="I583" s="6"/>
    </row>
    <row r="584" spans="1:9" x14ac:dyDescent="0.2">
      <c r="A584" s="7"/>
      <c r="B584" s="82"/>
      <c r="C584" s="82"/>
      <c r="D584" s="82"/>
      <c r="E584" s="82"/>
      <c r="F584" s="91"/>
      <c r="G584" s="6"/>
      <c r="H584" s="6"/>
      <c r="I584" s="6"/>
    </row>
    <row r="585" spans="1:9" x14ac:dyDescent="0.2">
      <c r="A585" s="7"/>
      <c r="B585" s="82"/>
      <c r="C585" s="82"/>
      <c r="D585" s="82"/>
      <c r="E585" s="82"/>
      <c r="F585" s="91"/>
      <c r="G585" s="6"/>
      <c r="H585" s="6"/>
      <c r="I585" s="6"/>
    </row>
    <row r="586" spans="1:9" x14ac:dyDescent="0.2">
      <c r="A586" s="7"/>
      <c r="B586" s="82"/>
      <c r="C586" s="82"/>
      <c r="D586" s="82"/>
      <c r="E586" s="82"/>
      <c r="F586" s="91"/>
      <c r="G586" s="6"/>
      <c r="H586" s="6"/>
      <c r="I586" s="6"/>
    </row>
    <row r="587" spans="1:9" x14ac:dyDescent="0.2">
      <c r="A587" s="7"/>
      <c r="B587" s="82"/>
      <c r="C587" s="82"/>
      <c r="D587" s="82"/>
      <c r="E587" s="82"/>
      <c r="F587" s="91"/>
      <c r="G587" s="6"/>
      <c r="H587" s="6"/>
      <c r="I587" s="6"/>
    </row>
    <row r="588" spans="1:9" x14ac:dyDescent="0.2">
      <c r="A588" s="7"/>
      <c r="B588" s="82"/>
      <c r="C588" s="82"/>
      <c r="D588" s="82"/>
      <c r="E588" s="82"/>
      <c r="F588" s="91"/>
      <c r="G588" s="6"/>
      <c r="H588" s="6"/>
      <c r="I588" s="6"/>
    </row>
    <row r="589" spans="1:9" x14ac:dyDescent="0.2">
      <c r="A589" s="7"/>
      <c r="B589" s="82"/>
      <c r="C589" s="82"/>
      <c r="D589" s="82"/>
      <c r="E589" s="82"/>
      <c r="F589" s="91"/>
      <c r="G589" s="6"/>
      <c r="H589" s="6"/>
      <c r="I589" s="6"/>
    </row>
    <row r="590" spans="1:9" x14ac:dyDescent="0.2">
      <c r="A590" s="7"/>
      <c r="B590" s="82"/>
      <c r="C590" s="82"/>
      <c r="D590" s="82"/>
      <c r="E590" s="82"/>
      <c r="F590" s="91"/>
      <c r="G590" s="6"/>
      <c r="H590" s="6"/>
      <c r="I590" s="6"/>
    </row>
    <row r="591" spans="1:9" x14ac:dyDescent="0.2">
      <c r="A591" s="7"/>
      <c r="B591" s="82"/>
      <c r="C591" s="82"/>
      <c r="D591" s="82"/>
      <c r="E591" s="82"/>
      <c r="F591" s="91"/>
      <c r="G591" s="6"/>
      <c r="H591" s="6"/>
      <c r="I591" s="6"/>
    </row>
    <row r="592" spans="1:9" x14ac:dyDescent="0.2">
      <c r="A592" s="7"/>
      <c r="B592" s="82"/>
      <c r="C592" s="82"/>
      <c r="D592" s="82"/>
      <c r="E592" s="82"/>
      <c r="F592" s="91"/>
      <c r="G592" s="6"/>
      <c r="H592" s="6"/>
      <c r="I592" s="6"/>
    </row>
    <row r="593" spans="1:9" x14ac:dyDescent="0.2">
      <c r="A593" s="7"/>
      <c r="B593" s="82"/>
      <c r="C593" s="82"/>
      <c r="D593" s="82"/>
      <c r="E593" s="82"/>
      <c r="F593" s="91"/>
      <c r="G593" s="6"/>
      <c r="H593" s="6"/>
      <c r="I593" s="6"/>
    </row>
    <row r="594" spans="1:9" x14ac:dyDescent="0.2">
      <c r="A594" s="7"/>
      <c r="B594" s="82"/>
      <c r="C594" s="82"/>
      <c r="D594" s="82"/>
      <c r="E594" s="82"/>
      <c r="F594" s="91"/>
      <c r="G594" s="6"/>
      <c r="H594" s="6"/>
      <c r="I594" s="6"/>
    </row>
    <row r="595" spans="1:9" x14ac:dyDescent="0.2">
      <c r="A595" s="7"/>
      <c r="B595" s="82"/>
      <c r="C595" s="82"/>
      <c r="D595" s="82"/>
      <c r="E595" s="82"/>
      <c r="F595" s="91"/>
      <c r="G595" s="6"/>
      <c r="H595" s="6"/>
      <c r="I595" s="6"/>
    </row>
    <row r="596" spans="1:9" x14ac:dyDescent="0.2">
      <c r="A596" s="7"/>
      <c r="B596" s="82"/>
      <c r="C596" s="82"/>
      <c r="D596" s="82"/>
      <c r="E596" s="82"/>
      <c r="F596" s="91"/>
      <c r="G596" s="6"/>
      <c r="H596" s="6"/>
      <c r="I596" s="6"/>
    </row>
    <row r="597" spans="1:9" x14ac:dyDescent="0.2">
      <c r="A597" s="7"/>
      <c r="B597" s="82"/>
      <c r="C597" s="82"/>
      <c r="D597" s="82"/>
      <c r="E597" s="82"/>
      <c r="F597" s="91"/>
      <c r="G597" s="6"/>
      <c r="H597" s="6"/>
      <c r="I597" s="6"/>
    </row>
    <row r="598" spans="1:9" x14ac:dyDescent="0.2">
      <c r="A598" s="7"/>
      <c r="B598" s="82"/>
      <c r="C598" s="82"/>
      <c r="D598" s="82"/>
      <c r="E598" s="82"/>
      <c r="F598" s="91"/>
      <c r="G598" s="6"/>
      <c r="H598" s="6"/>
      <c r="I598" s="6"/>
    </row>
    <row r="599" spans="1:9" x14ac:dyDescent="0.2">
      <c r="A599" s="7"/>
      <c r="B599" s="82"/>
      <c r="C599" s="82"/>
      <c r="D599" s="82"/>
      <c r="E599" s="82"/>
      <c r="F599" s="91"/>
      <c r="G599" s="6"/>
      <c r="H599" s="6"/>
      <c r="I599" s="6"/>
    </row>
    <row r="600" spans="1:9" x14ac:dyDescent="0.2">
      <c r="A600" s="7"/>
      <c r="B600" s="82"/>
      <c r="C600" s="82"/>
      <c r="D600" s="82"/>
      <c r="E600" s="82"/>
      <c r="F600" s="91"/>
      <c r="G600" s="6"/>
      <c r="H600" s="6"/>
      <c r="I600" s="6"/>
    </row>
    <row r="601" spans="1:9" x14ac:dyDescent="0.2">
      <c r="A601" s="7"/>
      <c r="B601" s="82"/>
      <c r="C601" s="82"/>
      <c r="D601" s="82"/>
      <c r="E601" s="82"/>
      <c r="F601" s="91"/>
      <c r="G601" s="6"/>
      <c r="H601" s="6"/>
      <c r="I601" s="6"/>
    </row>
  </sheetData>
  <mergeCells count="1">
    <mergeCell ref="H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Dashboard PRO</vt:lpstr>
      <vt:lpstr>Maandbegroting</vt:lpstr>
      <vt:lpstr>Spaargeld + verbouwing</vt:lpstr>
      <vt:lpstr>Verbouwing begroting</vt:lpstr>
      <vt:lpstr>Inboedel begroting</vt:lpstr>
      <vt:lpstr>Sparen &amp; Beleggen</vt:lpstr>
      <vt:lpstr>Hypotheek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de reuver</cp:lastModifiedBy>
  <dcterms:created xsi:type="dcterms:W3CDTF">2025-11-25T15:08:36Z</dcterms:created>
  <dcterms:modified xsi:type="dcterms:W3CDTF">2025-11-25T16:36:13Z</dcterms:modified>
</cp:coreProperties>
</file>